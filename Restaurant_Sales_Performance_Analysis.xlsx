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madhn\Downloads\"/>
    </mc:Choice>
  </mc:AlternateContent>
  <xr:revisionPtr revIDLastSave="0" documentId="8_{2E2CC7EF-E510-4EC5-9FF1-817E70F22E11}" xr6:coauthVersionLast="47" xr6:coauthVersionMax="47" xr10:uidLastSave="{00000000-0000-0000-0000-000000000000}"/>
  <bookViews>
    <workbookView xWindow="-110" yWindow="-110" windowWidth="19420" windowHeight="10300" firstSheet="2" activeTab="8" xr2:uid="{00000000-000D-0000-FFFF-FFFF00000000}"/>
  </bookViews>
  <sheets>
    <sheet name="Project_Brief" sheetId="1" r:id="rId1"/>
    <sheet name="Branch" sheetId="6" r:id="rId2"/>
    <sheet name="Channel" sheetId="7" r:id="rId3"/>
    <sheet name="Employee" sheetId="8" r:id="rId4"/>
    <sheet name="Item" sheetId="10" r:id="rId5"/>
    <sheet name="KPI_Summary" sheetId="13" r:id="rId6"/>
    <sheet name="Raw_Data" sheetId="2" r:id="rId7"/>
    <sheet name="noots" sheetId="9" r:id="rId8"/>
    <sheet name="Dashboard" sheetId="12" r:id="rId9"/>
    <sheet name="Menu_Lookup" sheetId="3" r:id="rId10"/>
  </sheets>
  <definedNames>
    <definedName name="Slicer_Branch">#N/A</definedName>
    <definedName name="Slicer_Channel">#N/A</definedName>
    <definedName name="Slicer_Employee">#N/A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3" l="1"/>
  <c r="N4" i="12" s="1"/>
  <c r="A20" i="10"/>
  <c r="A21" i="10"/>
  <c r="A22" i="10"/>
  <c r="A23" i="10"/>
  <c r="A24" i="10"/>
  <c r="A25" i="10"/>
  <c r="A26" i="10"/>
  <c r="A27" i="10"/>
  <c r="A28" i="10"/>
  <c r="A19" i="10"/>
  <c r="I92" i="2"/>
  <c r="J92" i="2"/>
  <c r="F5" i="10"/>
  <c r="C20" i="10" s="1"/>
  <c r="F6" i="10"/>
  <c r="F7" i="10"/>
  <c r="C22" i="10" s="1"/>
  <c r="F8" i="10"/>
  <c r="C23" i="10" s="1"/>
  <c r="F9" i="10"/>
  <c r="C24" i="10" s="1"/>
  <c r="F10" i="10"/>
  <c r="C25" i="10" s="1"/>
  <c r="F11" i="10"/>
  <c r="C26" i="10" s="1"/>
  <c r="F12" i="10"/>
  <c r="C27" i="10" s="1"/>
  <c r="F13" i="10"/>
  <c r="C28" i="10" s="1"/>
  <c r="F14" i="10"/>
  <c r="F4" i="10"/>
  <c r="C19" i="10" s="1"/>
  <c r="E5" i="10"/>
  <c r="E6" i="10"/>
  <c r="B21" i="10" s="1"/>
  <c r="E7" i="10"/>
  <c r="B22" i="10" s="1"/>
  <c r="E8" i="10"/>
  <c r="B23" i="10" s="1"/>
  <c r="E9" i="10"/>
  <c r="E10" i="10"/>
  <c r="E11" i="10"/>
  <c r="B26" i="10" s="1"/>
  <c r="E12" i="10"/>
  <c r="B27" i="10" s="1"/>
  <c r="E13" i="10"/>
  <c r="E14" i="10"/>
  <c r="E4" i="10"/>
  <c r="B19" i="10" s="1"/>
  <c r="D5" i="6"/>
  <c r="D6" i="6"/>
  <c r="D7" i="6"/>
  <c r="D4" i="6"/>
  <c r="N92" i="2"/>
  <c r="K92" i="2"/>
  <c r="H92" i="2"/>
  <c r="T6" i="2"/>
  <c r="T14" i="2"/>
  <c r="T22" i="2"/>
  <c r="T30" i="2"/>
  <c r="T38" i="2"/>
  <c r="T46" i="2"/>
  <c r="T54" i="2"/>
  <c r="T62" i="2"/>
  <c r="T70" i="2"/>
  <c r="T78" i="2"/>
  <c r="T86" i="2"/>
  <c r="M2" i="2"/>
  <c r="N2" i="2" s="1"/>
  <c r="M3" i="2"/>
  <c r="N3" i="2" s="1"/>
  <c r="M4" i="2"/>
  <c r="N4" i="2" s="1"/>
  <c r="M5" i="2"/>
  <c r="N5" i="2" s="1"/>
  <c r="M6" i="2"/>
  <c r="N6" i="2" s="1"/>
  <c r="M7" i="2"/>
  <c r="N7" i="2" s="1"/>
  <c r="M8" i="2"/>
  <c r="N8"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7" i="2"/>
  <c r="N57" i="2" s="1"/>
  <c r="M58" i="2"/>
  <c r="N58" i="2" s="1"/>
  <c r="M59" i="2"/>
  <c r="N59" i="2" s="1"/>
  <c r="M60" i="2"/>
  <c r="N60" i="2" s="1"/>
  <c r="M61" i="2"/>
  <c r="N61" i="2" s="1"/>
  <c r="M62" i="2"/>
  <c r="N62" i="2" s="1"/>
  <c r="M63" i="2"/>
  <c r="N63" i="2" s="1"/>
  <c r="M64" i="2"/>
  <c r="N64" i="2" s="1"/>
  <c r="M65" i="2"/>
  <c r="N65" i="2" s="1"/>
  <c r="M66" i="2"/>
  <c r="N66" i="2" s="1"/>
  <c r="M67" i="2"/>
  <c r="N67" i="2" s="1"/>
  <c r="M68" i="2"/>
  <c r="N68" i="2" s="1"/>
  <c r="M69" i="2"/>
  <c r="N69" i="2" s="1"/>
  <c r="M70" i="2"/>
  <c r="N70" i="2" s="1"/>
  <c r="M71" i="2"/>
  <c r="N71" i="2" s="1"/>
  <c r="M72" i="2"/>
  <c r="N72" i="2" s="1"/>
  <c r="M73" i="2"/>
  <c r="N73" i="2" s="1"/>
  <c r="M74" i="2"/>
  <c r="N74" i="2" s="1"/>
  <c r="M75" i="2"/>
  <c r="N75" i="2" s="1"/>
  <c r="M76" i="2"/>
  <c r="N76" i="2" s="1"/>
  <c r="M77" i="2"/>
  <c r="N77" i="2" s="1"/>
  <c r="M78" i="2"/>
  <c r="N78" i="2" s="1"/>
  <c r="M79" i="2"/>
  <c r="N79" i="2" s="1"/>
  <c r="M80" i="2"/>
  <c r="N80" i="2" s="1"/>
  <c r="M81" i="2"/>
  <c r="N81" i="2" s="1"/>
  <c r="M82" i="2"/>
  <c r="N82" i="2" s="1"/>
  <c r="M83" i="2"/>
  <c r="N83" i="2" s="1"/>
  <c r="M84" i="2"/>
  <c r="N84" i="2" s="1"/>
  <c r="M85" i="2"/>
  <c r="N85" i="2" s="1"/>
  <c r="M86" i="2"/>
  <c r="N86" i="2" s="1"/>
  <c r="M87" i="2"/>
  <c r="N87" i="2" s="1"/>
  <c r="M88" i="2"/>
  <c r="N88" i="2" s="1"/>
  <c r="M89" i="2"/>
  <c r="N89" i="2" s="1"/>
  <c r="M90" i="2"/>
  <c r="N90" i="2" s="1"/>
  <c r="M91" i="2"/>
  <c r="N91" i="2" s="1"/>
  <c r="K2" i="2"/>
  <c r="L2" i="2" s="1"/>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J4" i="12"/>
  <c r="B4" i="12"/>
  <c r="F4" i="12"/>
  <c r="G14" i="10" l="1"/>
  <c r="G13" i="10"/>
  <c r="G5" i="10"/>
  <c r="G9" i="10"/>
  <c r="G6" i="10"/>
  <c r="G10" i="10"/>
  <c r="B28" i="10"/>
  <c r="B24" i="10"/>
  <c r="C21" i="10"/>
  <c r="B20" i="10"/>
  <c r="B25" i="10"/>
  <c r="G12" i="10"/>
  <c r="G4" i="10"/>
  <c r="G11" i="10"/>
  <c r="G7" i="10"/>
  <c r="G8" i="10"/>
  <c r="T91" i="2"/>
  <c r="T83" i="2"/>
  <c r="T75" i="2"/>
  <c r="T67" i="2"/>
  <c r="T59" i="2"/>
  <c r="T51" i="2"/>
  <c r="T43" i="2"/>
  <c r="T35" i="2"/>
  <c r="T27" i="2"/>
  <c r="T19" i="2"/>
  <c r="T11" i="2"/>
  <c r="T3" i="2"/>
  <c r="T90" i="2"/>
  <c r="T82" i="2"/>
  <c r="T74" i="2"/>
  <c r="T66" i="2"/>
  <c r="T58" i="2"/>
  <c r="T50" i="2"/>
  <c r="T42" i="2"/>
  <c r="T34" i="2"/>
  <c r="T26" i="2"/>
  <c r="T18" i="2"/>
  <c r="T10" i="2"/>
  <c r="T2" i="2"/>
  <c r="T87" i="2"/>
  <c r="T79" i="2"/>
  <c r="T71" i="2"/>
  <c r="T63" i="2"/>
  <c r="T55" i="2"/>
  <c r="T47" i="2"/>
  <c r="T39" i="2"/>
  <c r="T31" i="2"/>
  <c r="T23" i="2"/>
  <c r="T15" i="2"/>
  <c r="T7" i="2"/>
  <c r="T89" i="2"/>
  <c r="T85" i="2"/>
  <c r="T81" i="2"/>
  <c r="T77" i="2"/>
  <c r="T73" i="2"/>
  <c r="T69" i="2"/>
  <c r="T65" i="2"/>
  <c r="T61" i="2"/>
  <c r="T57" i="2"/>
  <c r="T53" i="2"/>
  <c r="T49" i="2"/>
  <c r="T45" i="2"/>
  <c r="T41" i="2"/>
  <c r="T37" i="2"/>
  <c r="T33" i="2"/>
  <c r="T29" i="2"/>
  <c r="T25" i="2"/>
  <c r="T21" i="2"/>
  <c r="T17" i="2"/>
  <c r="T13" i="2"/>
  <c r="T9" i="2"/>
  <c r="T5" i="2"/>
  <c r="T88" i="2"/>
  <c r="T84" i="2"/>
  <c r="T80" i="2"/>
  <c r="T76" i="2"/>
  <c r="T72" i="2"/>
  <c r="T68" i="2"/>
  <c r="T64" i="2"/>
  <c r="T60" i="2"/>
  <c r="T56" i="2"/>
  <c r="T52" i="2"/>
  <c r="T48" i="2"/>
  <c r="T44" i="2"/>
  <c r="T40" i="2"/>
  <c r="T36" i="2"/>
  <c r="T32" i="2"/>
  <c r="T28" i="2"/>
  <c r="T24" i="2"/>
  <c r="T20" i="2"/>
  <c r="T16" i="2"/>
  <c r="T12" i="2"/>
  <c r="T8" i="2"/>
  <c r="T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P3" i="2" l="1"/>
  <c r="P2"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alcChain>
</file>

<file path=xl/sharedStrings.xml><?xml version="1.0" encoding="utf-8"?>
<sst xmlns="http://schemas.openxmlformats.org/spreadsheetml/2006/main" count="692" uniqueCount="203">
  <si>
    <t>Independent Excel Project</t>
  </si>
  <si>
    <t>Restaurant Sales &amp; Performance Analysis</t>
  </si>
  <si>
    <t>Scenario</t>
  </si>
  <si>
    <t>You are a junior Data Analyst for a small restaurant business with 3 branches. Management wants a clean analysis of sales, profit, branches, employees, channels, and product performance.</t>
  </si>
  <si>
    <t>Your Role</t>
  </si>
  <si>
    <t>Work independently. Clean and validate the data, analyze it, extract business insights, give recommendations, and build an interactive dashboard.</t>
  </si>
  <si>
    <t>Rule 1</t>
  </si>
  <si>
    <t>Do not invent missing values unless you can justify them from the existing data.</t>
  </si>
  <si>
    <t>Rule 2</t>
  </si>
  <si>
    <t>Document the issues you find before cleaning them.</t>
  </si>
  <si>
    <t>Rule 3</t>
  </si>
  <si>
    <t>Use formulas / PivotTables / XLOOKUP only when they solve a real analysis need.</t>
  </si>
  <si>
    <t>Rule 4</t>
  </si>
  <si>
    <t>Do not ask for step-by-step instructions unless you are genuinely blocked. I will review your work and reasoning.</t>
  </si>
  <si>
    <t>Business Questions</t>
  </si>
  <si>
    <t>1</t>
  </si>
  <si>
    <t>What are Total Revenue, Total Cost, Total Profit, and Average Order Value?</t>
  </si>
  <si>
    <t>2</t>
  </si>
  <si>
    <t>Which Branch performs best and worst by Revenue and Profit? Is the answer the same when you consider Profit Margin?</t>
  </si>
  <si>
    <t>3</t>
  </si>
  <si>
    <t>Which Sales Channel performs best? Compare Dine-in, Delivery, and Takeaway.</t>
  </si>
  <si>
    <t>4</t>
  </si>
  <si>
    <t>Who is the highest-performing Employee by Revenue and Profit?</t>
  </si>
  <si>
    <t>5</t>
  </si>
  <si>
    <t>Which Category or Item is underperforming versus its Target Margin?</t>
  </si>
  <si>
    <t>6</t>
  </si>
  <si>
    <t>Find at least 3 meaningful Insights and write 2 Recommendations for management.</t>
  </si>
  <si>
    <t>7</t>
  </si>
  <si>
    <t>Build an interactive Dashboard with clear KPIs, charts, and useful slicers.</t>
  </si>
  <si>
    <t>Definition of Done</t>
  </si>
  <si>
    <t>✓</t>
  </si>
  <si>
    <t>Raw data audited and cleaned.</t>
  </si>
  <si>
    <t>Calculated fields created correctly where needed.</t>
  </si>
  <si>
    <t>Business questions answered with evidence.</t>
  </si>
  <si>
    <t>3 Insights + 2 Recommendations written.</t>
  </si>
  <si>
    <t>Dashboard is readable, interactive, and management-friendly.</t>
  </si>
  <si>
    <t>Order_ID</t>
  </si>
  <si>
    <t>Date</t>
  </si>
  <si>
    <t>Employee</t>
  </si>
  <si>
    <t>Branch</t>
  </si>
  <si>
    <t>Channel</t>
  </si>
  <si>
    <t>Item</t>
  </si>
  <si>
    <t>Units</t>
  </si>
  <si>
    <t>Unit_Price_JOD</t>
  </si>
  <si>
    <t>Revenue_JOD</t>
  </si>
  <si>
    <t>Cost_JOD</t>
  </si>
  <si>
    <t>Customer_Type</t>
  </si>
  <si>
    <t>O001</t>
  </si>
  <si>
    <t>Lina</t>
  </si>
  <si>
    <t>Amman</t>
  </si>
  <si>
    <t>Takeaway</t>
  </si>
  <si>
    <t>Beef Burger</t>
  </si>
  <si>
    <t>New</t>
  </si>
  <si>
    <t>O002</t>
  </si>
  <si>
    <t>Ali</t>
  </si>
  <si>
    <t>Dine-in</t>
  </si>
  <si>
    <t>Soft Drink</t>
  </si>
  <si>
    <t>O003</t>
  </si>
  <si>
    <t>Noor</t>
  </si>
  <si>
    <t>Zarqa</t>
  </si>
  <si>
    <t>Returning</t>
  </si>
  <si>
    <t>O004</t>
  </si>
  <si>
    <t>Pepperoni Pizza</t>
  </si>
  <si>
    <t>O005</t>
  </si>
  <si>
    <t>Omar</t>
  </si>
  <si>
    <t>Alfredo Pasta</t>
  </si>
  <si>
    <t>O006</t>
  </si>
  <si>
    <t>O007</t>
  </si>
  <si>
    <t>Delivery</t>
  </si>
  <si>
    <t>O008</t>
  </si>
  <si>
    <t>Fresh Juice</t>
  </si>
  <si>
    <t>O009</t>
  </si>
  <si>
    <t>Irbid</t>
  </si>
  <si>
    <t>O010</t>
  </si>
  <si>
    <t>O011</t>
  </si>
  <si>
    <t>Sara</t>
  </si>
  <si>
    <t>O012</t>
  </si>
  <si>
    <t>O013</t>
  </si>
  <si>
    <t>O014</t>
  </si>
  <si>
    <t>Greek Salad</t>
  </si>
  <si>
    <t>O015</t>
  </si>
  <si>
    <t>O016</t>
  </si>
  <si>
    <t>O017</t>
  </si>
  <si>
    <t>O018</t>
  </si>
  <si>
    <t>O019</t>
  </si>
  <si>
    <t>Chicken Pasta</t>
  </si>
  <si>
    <t>O020</t>
  </si>
  <si>
    <t>O021</t>
  </si>
  <si>
    <t>Mooath</t>
  </si>
  <si>
    <t>Margherita Pizza</t>
  </si>
  <si>
    <t>O022</t>
  </si>
  <si>
    <t>O023</t>
  </si>
  <si>
    <t>O024</t>
  </si>
  <si>
    <t>O025</t>
  </si>
  <si>
    <t>O026</t>
  </si>
  <si>
    <t>O028</t>
  </si>
  <si>
    <t>Chicken Burger</t>
  </si>
  <si>
    <t>O029</t>
  </si>
  <si>
    <t>O030</t>
  </si>
  <si>
    <t>O031</t>
  </si>
  <si>
    <t>Caesar Salad</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</si>
  <si>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</si>
  <si>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</si>
  <si>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</si>
  <si>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</si>
  <si>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</si>
  <si>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</si>
  <si>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</si>
  <si>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</si>
  <si>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</si>
  <si>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</si>
  <si>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</si>
  <si>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</si>
  <si>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</si>
  <si>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</si>
  <si>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</si>
  <si>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</si>
  <si>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</si>
  <si>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</si>
  <si>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</si>
  <si>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</si>
  <si>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</si>
  <si>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</si>
  <si>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</si>
  <si>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</si>
  <si>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</si>
  <si>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</si>
  <si>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</si>
  <si>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</si>
  <si>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</si>
  <si>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</si>
  <si>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</si>
  <si>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</si>
  <si>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</si>
  <si>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</si>
  <si>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</si>
  <si>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</si>
  <si>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</si>
  <si>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</si>
  <si>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</si>
  <si>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</si>
  <si>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</si>
  <si>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</si>
  <si>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</si>
  <si>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</si>
  <si>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</si>
  <si>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</si>
  <si>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</si>
  <si>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</si>
  <si>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</si>
  <si>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</si>
  <si>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</si>
  <si>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</si>
  <si>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</si>
  <si>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</si>
  <si>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</si>
  <si>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</si>
  <si>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</si>
  <si>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</si>
  <si>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O090</t>
  </si>
  <si>
    <t>Category</t>
  </si>
  <si>
    <t>Target_Margin</t>
  </si>
  <si>
    <t>Burgers</t>
  </si>
  <si>
    <t>Pizza</t>
  </si>
  <si>
    <t>Pasta</t>
  </si>
  <si>
    <t>Salads</t>
  </si>
  <si>
    <t>Beverages</t>
  </si>
  <si>
    <t>O091</t>
  </si>
  <si>
    <t>Space_Check</t>
  </si>
  <si>
    <t>Case_Check</t>
  </si>
  <si>
    <t>Missing_Check</t>
  </si>
  <si>
    <t>Type_Check</t>
  </si>
  <si>
    <t>Exact_Duplicate_Check</t>
  </si>
  <si>
    <t>Total</t>
  </si>
  <si>
    <t>proft</t>
  </si>
  <si>
    <t>Profit Margin</t>
  </si>
  <si>
    <t>Target_Profit_JOD</t>
  </si>
  <si>
    <t>Row Labels</t>
  </si>
  <si>
    <t>Grand Total</t>
  </si>
  <si>
    <t>Sum of Revenue_JOD</t>
  </si>
  <si>
    <t>Sum of proft</t>
  </si>
  <si>
    <t>افضل شانل هي بلمطعم Dine  in</t>
  </si>
  <si>
    <t>افضل  موظف في هده المقارنه هو عمر</t>
  </si>
  <si>
    <t xml:space="preserve"> ال Chicken Burgerهو اقل شيء من  حيث هامش الربح</t>
  </si>
  <si>
    <t>افضل فرع من حيث الإيرادات والارباح هو فرع عمان  والاقل  الزرقاء</t>
  </si>
  <si>
    <t xml:space="preserve">تم </t>
  </si>
  <si>
    <t xml:space="preserve">تم حدف صف O092 لانه سجل شاد بشكل ملحوظ  سوفت درينك بطبيعه سعرها 1.20  هنا مختلفه 4.14  بوحدت  3.854945055  </t>
  </si>
  <si>
    <t>أوصي بمراجعة وتدقيق سجل Greek Salad الذي ظهر بسعر 5.50 JOD والتأكد من المصدر الأصلي، لأنه مختلف عن السعر المعتاد 4.00 JOD، بدون تعديل القيمة قبل التحقق</t>
  </si>
  <si>
    <t>Sum of Target_Profit_JOD</t>
  </si>
  <si>
    <t>Actual Margin</t>
  </si>
  <si>
    <t>Target Margin</t>
  </si>
  <si>
    <t>Margin Gap</t>
  </si>
  <si>
    <t>لاحظت ان قسم البرغر لم يحقق التارغيت بعد التدقيق كان صنف  بيف برغر&amp; شيكن برغر</t>
  </si>
  <si>
    <t>Total Cost</t>
  </si>
  <si>
    <t>Total Revenue</t>
  </si>
  <si>
    <t>Total Profit</t>
  </si>
  <si>
    <t xml:space="preserve"> proft</t>
  </si>
  <si>
    <t xml:space="preserve"> Revenue</t>
  </si>
  <si>
    <t>Average Order Value</t>
  </si>
  <si>
    <t>(blank)</t>
  </si>
  <si>
    <t>Restaurant Sales Performance Dashboard</t>
  </si>
  <si>
    <t>Sum of Cost_JOD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</si>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</sst>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quot;JOD&quot;"/>
    <numFmt numFmtId="166" formatCode="#,##0.00\ &quot;JOD&quot;"/>
    <numFmt numFmtId="167" formatCode="0.0%"/>
  </numFmts>
  <fonts count="11">
    <font>
      <sz val="11"/>
      <name val="Carlito"/>
    </font>
    <font>
      <b/>
      <sz val="14"/>
      <color rgb="FFFFFFFF"/>
      <name val="Carlito"/>
    </font>
    <font>
      <b/>
      <sz val="11"/>
      <name val="Carlito"/>
    </font>
    <font>
      <b/>
      <sz val="11"/>
      <color rgb="FFFFFFFF"/>
      <name val="Carlito"/>
    </font>
    <font>
      <sz val="8"/>
      <name val="Carlito"/>
    </font>
    <font>
      <sz val="14"/>
      <color theme="0"/>
      <name val="Carlito"/>
    </font>
    <font>
      <sz val="14"/>
      <name val="Carlito"/>
    </font>
    <font>
      <sz val="11"/>
      <color theme="0"/>
      <name val="Carlito"/>
    </font>
    <font>
      <sz val="20"/>
      <color theme="0"/>
      <name val="Carlito"/>
    </font>
    <font>
      <sz val="16"/>
      <color theme="0"/>
      <name val="Carlito"/>
    </font>
    <font>
      <b/>
      <sz val="16"/>
      <color theme="0"/>
      <name val="Carlito"/>
    </font>
  </fonts>
  <fills count="9">
    <fill>
      <patternFill patternType="none"/>
    </fill>
    <fill>
      <patternFill patternType="gray125"/>
    </fill>
    <fill>
      <patternFill patternType="solid">
        <fgColor rgb="FF17365D"/>
      </patternFill>
    </fill>
    <fill>
      <patternFill patternType="solid">
        <fgColor rgb="FFD9EAF7"/>
      </patternFill>
    </fill>
    <fill>
      <patternFill patternType="solid">
        <fgColor rgb="FFFF0000"/>
        <bgColor indexed="64"/>
      </patternFill>
    </fill>
    <fill>
      <patternFill patternType="solid">
        <fgColor theme="0"/>
        <bgColor indexed="64"/>
      </patternFill>
    </fill>
    <fill>
      <patternFill patternType="solid">
        <fgColor theme="7"/>
        <bgColor indexed="64"/>
      </patternFill>
    </fill>
    <fill>
      <patternFill patternType="solid">
        <fgColor rgb="FFC0000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44">
    <xf numFmtId="0" fontId="0" fillId="0" borderId="0" xfId="0"/>
    <xf numFmtId="0" fontId="1" fillId="2" borderId="0" xfId="0" applyFont="1" applyFill="1" applyAlignment="1">
      <alignment wrapText="1"/>
    </xf>
    <xf numFmtId="0" fontId="0" fillId="0" borderId="0" xfId="0" applyAlignment="1">
      <alignment wrapText="1"/>
    </xf>
    <xf numFmtId="0" fontId="2" fillId="3" borderId="0" xfId="0" applyFont="1" applyFill="1" applyAlignment="1">
      <alignment wrapText="1"/>
    </xf>
    <xf numFmtId="0" fontId="3" fillId="2" borderId="0" xfId="0" applyFont="1" applyFill="1"/>
    <xf numFmtId="9" fontId="0" fillId="0" borderId="0" xfId="0" applyNumberFormat="1"/>
    <xf numFmtId="0" fontId="3" fillId="2"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5" fontId="0" fillId="0" borderId="0" xfId="0" applyNumberFormat="1" applyAlignment="1">
      <alignment horizontal="center"/>
    </xf>
    <xf numFmtId="0" fontId="0" fillId="4" borderId="0" xfId="0" applyFill="1" applyAlignment="1">
      <alignment horizontal="center"/>
    </xf>
    <xf numFmtId="0" fontId="0" fillId="4" borderId="0" xfId="0" applyFill="1"/>
    <xf numFmtId="165" fontId="5" fillId="4" borderId="0" xfId="0" applyNumberFormat="1" applyFont="1" applyFill="1" applyAlignment="1">
      <alignment horizontal="center"/>
    </xf>
    <xf numFmtId="0" fontId="6" fillId="0" borderId="0" xfId="0" applyFont="1"/>
    <xf numFmtId="10" fontId="0" fillId="0" borderId="0" xfId="0" applyNumberFormat="1" applyAlignment="1">
      <alignment horizontal="center"/>
    </xf>
    <xf numFmtId="10" fontId="0" fillId="0" borderId="0" xfId="0" applyNumberFormat="1"/>
    <xf numFmtId="10" fontId="0" fillId="5" borderId="0" xfId="0" applyNumberFormat="1" applyFill="1" applyAlignment="1">
      <alignment horizontal="center"/>
    </xf>
    <xf numFmtId="166" fontId="0" fillId="0" borderId="0" xfId="0" applyNumberFormat="1"/>
    <xf numFmtId="166"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5" fontId="0" fillId="5" borderId="0" xfId="0" applyNumberFormat="1" applyFill="1" applyAlignment="1">
      <alignment horizontal="center"/>
    </xf>
    <xf numFmtId="166" fontId="0" fillId="5" borderId="0" xfId="0" applyNumberFormat="1" applyFill="1" applyAlignment="1">
      <alignment horizontal="center"/>
    </xf>
    <xf numFmtId="0" fontId="0" fillId="5" borderId="0" xfId="0" applyFill="1" applyAlignment="1">
      <alignment horizontal="center"/>
    </xf>
    <xf numFmtId="0" fontId="0" fillId="6" borderId="0" xfId="0" applyFill="1"/>
    <xf numFmtId="164" fontId="0" fillId="5" borderId="0" xfId="0" applyNumberFormat="1" applyFill="1" applyAlignment="1">
      <alignment horizontal="center"/>
    </xf>
    <xf numFmtId="0" fontId="0" fillId="5" borderId="0" xfId="0" applyFill="1"/>
    <xf numFmtId="167" fontId="5" fillId="4" borderId="0" xfId="0" applyNumberFormat="1" applyFont="1" applyFill="1"/>
    <xf numFmtId="10" fontId="5" fillId="4" borderId="0" xfId="0" applyNumberFormat="1" applyFont="1" applyFill="1" applyAlignment="1">
      <alignment horizontal="center"/>
    </xf>
    <xf numFmtId="166" fontId="5" fillId="4" borderId="0" xfId="0" applyNumberFormat="1" applyFont="1" applyFill="1" applyAlignment="1">
      <alignment horizontal="center"/>
    </xf>
    <xf numFmtId="165" fontId="2" fillId="0" borderId="0" xfId="0" applyNumberFormat="1" applyFont="1" applyAlignment="1">
      <alignment horizontal="center"/>
    </xf>
    <xf numFmtId="0" fontId="0" fillId="0" borderId="0" xfId="0" pivotButton="1" applyAlignment="1">
      <alignment horizontal="center"/>
    </xf>
    <xf numFmtId="10" fontId="7" fillId="7" borderId="0" xfId="0" applyNumberFormat="1" applyFont="1" applyFill="1"/>
    <xf numFmtId="0" fontId="5" fillId="8" borderId="0" xfId="0" applyFont="1" applyFill="1" applyAlignment="1">
      <alignment horizontal="center"/>
    </xf>
    <xf numFmtId="166" fontId="8" fillId="8" borderId="0" xfId="0" applyNumberFormat="1" applyFont="1" applyFill="1" applyAlignment="1">
      <alignment horizontal="center"/>
    </xf>
    <xf numFmtId="0" fontId="0" fillId="0" borderId="0" xfId="0" applyAlignment="1">
      <alignment horizontal="center"/>
    </xf>
    <xf numFmtId="0" fontId="6" fillId="0" borderId="0" xfId="0" applyFont="1" applyAlignment="1">
      <alignment horizontal="center"/>
    </xf>
    <xf numFmtId="0" fontId="9" fillId="8" borderId="0" xfId="0" applyFont="1" applyFill="1"/>
    <xf numFmtId="0" fontId="10" fillId="8" borderId="0" xfId="0" applyFont="1" applyFill="1" applyAlignment="1"/>
    <xf numFmtId="0" fontId="7" fillId="8" borderId="0" xfId="0" applyFont="1" applyFill="1"/>
    <xf numFmtId="0" fontId="0" fillId="0" borderId="0" xfId="0" applyNumberFormat="1"/>
  </cellXfs>
  <cellStyles count="1">
    <cellStyle name="Normal" xfId="0" builtinId="0"/>
  </cellStyles>
  <dxfs count="14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8"/>
        </patternFill>
      </fill>
    </dxf>
    <dxf>
      <fill>
        <patternFill>
          <bgColor theme="9"/>
        </patternFill>
      </fill>
    </dxf>
    <dxf>
      <fill>
        <patternFill>
          <bgColor rgb="FFFFC000"/>
        </patternFill>
      </fill>
    </dxf>
    <dxf>
      <fill>
        <patternFill>
          <bgColor rgb="FFFFFF00"/>
        </patternFill>
      </fill>
    </dxf>
    <dxf>
      <fill>
        <patternFill patternType="solid">
          <fgColor indexed="64"/>
          <bgColor rgb="FFFF0000"/>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4"/>
        <color theme="0"/>
        <name val="Carlito"/>
        <scheme val="none"/>
      </font>
      <numFmt numFmtId="166" formatCode="#,##0.00\ &quot;JOD&quot;"/>
      <fill>
        <patternFill patternType="solid">
          <fgColor indexed="64"/>
          <bgColor rgb="FFFF0000"/>
        </patternFill>
      </fill>
      <alignment horizontal="center" vertical="bottom" textRotation="0" wrapText="0" indent="0" justifyLastLine="0" shrinkToFit="0" readingOrder="0"/>
    </dxf>
    <dxf>
      <numFmt numFmtId="166" formatCode="#,##0.00\ &quot;JOD&quot;"/>
      <alignment horizontal="center" vertical="bottom" textRotation="0" wrapText="0" indent="0" justifyLastLine="0" shrinkToFit="0" readingOrder="0"/>
    </dxf>
    <dxf>
      <font>
        <b val="0"/>
        <i val="0"/>
        <strike val="0"/>
        <condense val="0"/>
        <extend val="0"/>
        <outline val="0"/>
        <shadow val="0"/>
        <u val="none"/>
        <vertAlign val="baseline"/>
        <sz val="14"/>
        <color theme="0"/>
        <name val="Carlito"/>
        <scheme val="none"/>
      </font>
      <numFmt numFmtId="14" formatCode="0.00%"/>
      <fill>
        <patternFill patternType="solid">
          <fgColor indexed="64"/>
          <bgColor rgb="FFFF0000"/>
        </patternFill>
      </fill>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4"/>
        <color theme="0"/>
        <name val="Carlito"/>
        <scheme val="none"/>
      </font>
      <numFmt numFmtId="167" formatCode="0.0%"/>
      <fill>
        <patternFill patternType="solid">
          <fgColor indexed="64"/>
          <bgColor rgb="FFFF0000"/>
        </patternFill>
      </fill>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4"/>
        <color theme="0"/>
        <name val="Carlito"/>
        <scheme val="none"/>
      </font>
      <numFmt numFmtId="165" formatCode="0.00\ &quot;JOD&quot;"/>
      <fill>
        <patternFill patternType="solid">
          <fgColor indexed="64"/>
          <bgColor rgb="FFFF0000"/>
        </patternFill>
      </fill>
      <alignment horizontal="center" vertical="bottom" textRotation="0" wrapText="0" indent="0" justifyLastLine="0" shrinkToFit="0" readingOrder="0"/>
    </dxf>
    <dxf>
      <numFmt numFmtId="165" formatCode="0.00\ &quot;JOD&quot;"/>
      <alignment horizontal="center" vertical="bottom" textRotation="0" wrapText="0" indent="0" justifyLastLine="0" shrinkToFit="0" readingOrder="0"/>
    </dxf>
    <dxf>
      <font>
        <b val="0"/>
        <i val="0"/>
        <strike val="0"/>
        <condense val="0"/>
        <extend val="0"/>
        <outline val="0"/>
        <shadow val="0"/>
        <u val="none"/>
        <vertAlign val="baseline"/>
        <sz val="14"/>
        <color theme="0"/>
        <name val="Carlito"/>
        <scheme val="none"/>
      </font>
      <numFmt numFmtId="165" formatCode="0.00\ &quot;JOD&quot;"/>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4"/>
        <color theme="0"/>
        <name val="Carlito"/>
        <scheme val="none"/>
      </font>
      <numFmt numFmtId="165" formatCode="0.00\ &quot;JOD&quot;"/>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4"/>
        <color theme="0"/>
        <name val="Carlito"/>
        <scheme val="none"/>
      </font>
      <numFmt numFmtId="165" formatCode="0.00\ &quot;JOD&quot;"/>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[Restaurant_Sales_Performance_Analysis.xlsx]Branch!PivotTable3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Branch!$B$3</c:f>
              <c:strCache>
                <c:ptCount val="1"/>
                <c:pt idx="0">
                  <c:v> Revenue</c:v>
                </c:pt>
              </c:strCache>
            </c:strRef>
          </c:tx>
          <c:spPr>
            <a:solidFill>
              <a:schemeClr val="accent1"/>
            </a:solidFill>
            <a:ln>
              <a:noFill/>
            </a:ln>
            <a:effectLst/>
          </c:spPr>
          <c:invertIfNegative val="0"/>
          <c:cat>
            <c:strRef>
              <c:f>Branch!$A$4:$A$7</c:f>
              <c:strCache>
                <c:ptCount val="3"/>
                <c:pt idx="0">
                  <c:v>Amman</c:v>
                </c:pt>
                <c:pt idx="1">
                  <c:v>Irbid</c:v>
                </c:pt>
                <c:pt idx="2">
                  <c:v>Zarqa</c:v>
                </c:pt>
              </c:strCache>
            </c:strRef>
          </c:cat>
          <c:val>
            <c:numRef>
              <c:f>Branch!$B$4:$B$7</c:f>
              <c:numCache>
                <c:formatCode>0.00\ "JOD"</c:formatCode>
                <c:ptCount val="3"/>
                <c:pt idx="0">
                  <c:v>583.5</c:v>
                </c:pt>
                <c:pt idx="1">
                  <c:v>367.39999999999992</c:v>
                </c:pt>
                <c:pt idx="2">
                  <c:v>336.59999999999997</c:v>
                </c:pt>
              </c:numCache>
            </c:numRef>
          </c:val>
          <c:extLst>
            <c:ext xmlns:c16="http://schemas.microsoft.com/office/drawing/2014/chart" uri="{C3380CC4-5D6E-409C-BE32-E72D297353CC}">
              <c16:uniqueId val="{00000000-5760-4665-AB3D-1C2A3EA4E8BB}"/>
            </c:ext>
          </c:extLst>
        </c:ser>
        <c:ser>
          <c:idx val="1"/>
          <c:order val="1"/>
          <c:tx>
            <c:strRef>
              <c:f>Branch!$C$3</c:f>
              <c:strCache>
                <c:ptCount val="1"/>
                <c:pt idx="0">
                  <c:v> proft</c:v>
                </c:pt>
              </c:strCache>
            </c:strRef>
          </c:tx>
          <c:spPr>
            <a:solidFill>
              <a:schemeClr val="accent2"/>
            </a:solidFill>
            <a:ln>
              <a:noFill/>
            </a:ln>
            <a:effectLst/>
          </c:spPr>
          <c:invertIfNegative val="0"/>
          <c:cat>
            <c:strRef>
              <c:f>Branch!$A$4:$A$7</c:f>
              <c:strCache>
                <c:ptCount val="3"/>
                <c:pt idx="0">
                  <c:v>Amman</c:v>
                </c:pt>
                <c:pt idx="1">
                  <c:v>Irbid</c:v>
                </c:pt>
                <c:pt idx="2">
                  <c:v>Zarqa</c:v>
                </c:pt>
              </c:strCache>
            </c:strRef>
          </c:cat>
          <c:val>
            <c:numRef>
              <c:f>Branch!$C$4:$C$7</c:f>
              <c:numCache>
                <c:formatCode>0.00</c:formatCode>
                <c:ptCount val="3"/>
                <c:pt idx="0">
                  <c:v>213.90000000000003</c:v>
                </c:pt>
                <c:pt idx="1">
                  <c:v>144.24</c:v>
                </c:pt>
                <c:pt idx="2">
                  <c:v>121.31000000000003</c:v>
                </c:pt>
              </c:numCache>
            </c:numRef>
          </c:val>
          <c:extLst>
            <c:ext xmlns:c16="http://schemas.microsoft.com/office/drawing/2014/chart" uri="{C3380CC4-5D6E-409C-BE32-E72D297353CC}">
              <c16:uniqueId val="{00000001-5760-4665-AB3D-1C2A3EA4E8BB}"/>
            </c:ext>
          </c:extLst>
        </c:ser>
        <c:dLbls>
          <c:showLegendKey val="0"/>
          <c:showVal val="0"/>
          <c:showCatName val="0"/>
          <c:showSerName val="0"/>
          <c:showPercent val="0"/>
          <c:showBubbleSize val="0"/>
        </c:dLbls>
        <c:gapWidth val="219"/>
        <c:overlap val="-27"/>
        <c:axId val="723482760"/>
        <c:axId val="723485224"/>
      </c:barChart>
      <c:catAx>
        <c:axId val="723482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85224"/>
        <c:crosses val="autoZero"/>
        <c:auto val="1"/>
        <c:lblAlgn val="ctr"/>
        <c:lblOffset val="100"/>
        <c:noMultiLvlLbl val="0"/>
      </c:catAx>
      <c:valAx>
        <c:axId val="723485224"/>
        <c:scaling>
          <c:orientation val="minMax"/>
        </c:scaling>
        <c:delete val="0"/>
        <c:axPos val="l"/>
        <c:majorGridlines>
          <c:spPr>
            <a:ln w="9525" cap="flat" cmpd="sng" algn="ctr">
              <a:solidFill>
                <a:schemeClr val="tx1">
                  <a:lumMod val="15000"/>
                  <a:lumOff val="85000"/>
                </a:schemeClr>
              </a:solid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82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[Restaurant_Sales_Performance_Analysis.xlsx]Channel!PivotTable1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Channel!$B$3</c:f>
              <c:strCache>
                <c:ptCount val="1"/>
                <c:pt idx="0">
                  <c:v> proft</c:v>
                </c:pt>
              </c:strCache>
            </c:strRef>
          </c:tx>
          <c:spPr>
            <a:solidFill>
              <a:schemeClr val="accent1"/>
            </a:solidFill>
            <a:ln>
              <a:noFill/>
            </a:ln>
            <a:effectLst/>
          </c:spPr>
          <c:invertIfNegative val="0"/>
          <c:cat>
            <c:strRef>
              <c:f>Channel!$A$4:$A$7</c:f>
              <c:strCache>
                <c:ptCount val="3"/>
                <c:pt idx="0">
                  <c:v>Dine-in</c:v>
                </c:pt>
                <c:pt idx="1">
                  <c:v>Delivery</c:v>
                </c:pt>
                <c:pt idx="2">
                  <c:v>Takeaway</c:v>
                </c:pt>
              </c:strCache>
            </c:strRef>
          </c:cat>
          <c:val>
            <c:numRef>
              <c:f>Channel!$B$4:$B$7</c:f>
              <c:numCache>
                <c:formatCode>0.00</c:formatCode>
                <c:ptCount val="3"/>
                <c:pt idx="0">
                  <c:v>172.14000000000001</c:v>
                </c:pt>
                <c:pt idx="1">
                  <c:v>162.05999999999995</c:v>
                </c:pt>
                <c:pt idx="2">
                  <c:v>145.24999999999997</c:v>
                </c:pt>
              </c:numCache>
            </c:numRef>
          </c:val>
          <c:extLst>
            <c:ext xmlns:c16="http://schemas.microsoft.com/office/drawing/2014/chart" uri="{C3380CC4-5D6E-409C-BE32-E72D297353CC}">
              <c16:uniqueId val="{00000000-861C-472C-86C0-DF182A11EEAE}"/>
            </c:ext>
          </c:extLst>
        </c:ser>
        <c:ser>
          <c:idx val="1"/>
          <c:order val="1"/>
          <c:tx>
            <c:strRef>
              <c:f>Channel!$C$3</c:f>
              <c:strCache>
                <c:ptCount val="1"/>
                <c:pt idx="0">
                  <c:v> Revenue</c:v>
                </c:pt>
              </c:strCache>
            </c:strRef>
          </c:tx>
          <c:spPr>
            <a:solidFill>
              <a:schemeClr val="accent2"/>
            </a:solidFill>
            <a:ln>
              <a:noFill/>
            </a:ln>
            <a:effectLst/>
          </c:spPr>
          <c:invertIfNegative val="0"/>
          <c:cat>
            <c:strRef>
              <c:f>Channel!$A$4:$A$7</c:f>
              <c:strCache>
                <c:ptCount val="3"/>
                <c:pt idx="0">
                  <c:v>Dine-in</c:v>
                </c:pt>
                <c:pt idx="1">
                  <c:v>Delivery</c:v>
                </c:pt>
                <c:pt idx="2">
                  <c:v>Takeaway</c:v>
                </c:pt>
              </c:strCache>
            </c:strRef>
          </c:cat>
          <c:val>
            <c:numRef>
              <c:f>Channel!$C$4:$C$7</c:f>
              <c:numCache>
                <c:formatCode>0.00\ "JOD"</c:formatCode>
                <c:ptCount val="3"/>
                <c:pt idx="0">
                  <c:v>467.1</c:v>
                </c:pt>
                <c:pt idx="1">
                  <c:v>439.79999999999995</c:v>
                </c:pt>
                <c:pt idx="2">
                  <c:v>380.59999999999997</c:v>
                </c:pt>
              </c:numCache>
            </c:numRef>
          </c:val>
          <c:extLst>
            <c:ext xmlns:c16="http://schemas.microsoft.com/office/drawing/2014/chart" uri="{C3380CC4-5D6E-409C-BE32-E72D297353CC}">
              <c16:uniqueId val="{00000001-861C-472C-86C0-DF182A11EEAE}"/>
            </c:ext>
          </c:extLst>
        </c:ser>
        <c:dLbls>
          <c:showLegendKey val="0"/>
          <c:showVal val="0"/>
          <c:showCatName val="0"/>
          <c:showSerName val="0"/>
          <c:showPercent val="0"/>
          <c:showBubbleSize val="0"/>
        </c:dLbls>
        <c:gapWidth val="219"/>
        <c:overlap val="-27"/>
        <c:axId val="694468232"/>
        <c:axId val="694469288"/>
      </c:barChart>
      <c:catAx>
        <c:axId val="69446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69288"/>
        <c:crosses val="autoZero"/>
        <c:auto val="1"/>
        <c:lblAlgn val="ctr"/>
        <c:lblOffset val="100"/>
        <c:noMultiLvlLbl val="0"/>
      </c:catAx>
      <c:valAx>
        <c:axId val="694469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68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[Restaurant_Sales_Performance_Analysis.xlsx]Employee!PivotTable2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Employee!$B$3</c:f>
              <c:strCache>
                <c:ptCount val="1"/>
                <c:pt idx="0">
                  <c:v> Revenue</c:v>
                </c:pt>
              </c:strCache>
            </c:strRef>
          </c:tx>
          <c:spPr>
            <a:solidFill>
              <a:schemeClr val="accent1"/>
            </a:solidFill>
            <a:ln>
              <a:noFill/>
            </a:ln>
            <a:effectLst/>
          </c:spPr>
          <c:invertIfNegative val="0"/>
          <c:cat>
            <c:strRef>
              <c:f>Employee!$A$4:$A$11</c:f>
              <c:strCache>
                <c:ptCount val="7"/>
                <c:pt idx="0">
                  <c:v>Ali</c:v>
                </c:pt>
                <c:pt idx="1">
                  <c:v>Lina</c:v>
                </c:pt>
                <c:pt idx="2">
                  <c:v>Mooath</c:v>
                </c:pt>
                <c:pt idx="3">
                  <c:v>Noor</c:v>
                </c:pt>
                <c:pt idx="4">
                  <c:v>Omar</c:v>
                </c:pt>
                <c:pt idx="5">
                  <c:v>Sara</c:v>
                </c:pt>
                <c:pt idx="6">
                  <c:v>(blank)</c:v>
                </c:pt>
              </c:strCache>
            </c:strRef>
          </c:cat>
          <c:val>
            <c:numRef>
              <c:f>Employee!$B$4:$B$11</c:f>
              <c:numCache>
                <c:formatCode>0.00\ "JOD"</c:formatCode>
                <c:ptCount val="7"/>
                <c:pt idx="0">
                  <c:v>144.9</c:v>
                </c:pt>
                <c:pt idx="1">
                  <c:v>247.8</c:v>
                </c:pt>
                <c:pt idx="2">
                  <c:v>232</c:v>
                </c:pt>
                <c:pt idx="3">
                  <c:v>163.19999999999999</c:v>
                </c:pt>
                <c:pt idx="4">
                  <c:v>330.2</c:v>
                </c:pt>
                <c:pt idx="5">
                  <c:v>149.4</c:v>
                </c:pt>
                <c:pt idx="6">
                  <c:v>20</c:v>
                </c:pt>
              </c:numCache>
            </c:numRef>
          </c:val>
          <c:extLst>
            <c:ext xmlns:c16="http://schemas.microsoft.com/office/drawing/2014/chart" uri="{C3380CC4-5D6E-409C-BE32-E72D297353CC}">
              <c16:uniqueId val="{00000000-6CEC-49E4-AED9-4A84292D68CE}"/>
            </c:ext>
          </c:extLst>
        </c:ser>
        <c:ser>
          <c:idx val="1"/>
          <c:order val="1"/>
          <c:tx>
            <c:strRef>
              <c:f>Employee!$C$3</c:f>
              <c:strCache>
                <c:ptCount val="1"/>
                <c:pt idx="0">
                  <c:v> proft</c:v>
                </c:pt>
              </c:strCache>
            </c:strRef>
          </c:tx>
          <c:spPr>
            <a:solidFill>
              <a:schemeClr val="accent2"/>
            </a:solidFill>
            <a:ln>
              <a:noFill/>
            </a:ln>
            <a:effectLst/>
          </c:spPr>
          <c:invertIfNegative val="0"/>
          <c:cat>
            <c:strRef>
              <c:f>Employee!$A$4:$A$11</c:f>
              <c:strCache>
                <c:ptCount val="7"/>
                <c:pt idx="0">
                  <c:v>Ali</c:v>
                </c:pt>
                <c:pt idx="1">
                  <c:v>Lina</c:v>
                </c:pt>
                <c:pt idx="2">
                  <c:v>Mooath</c:v>
                </c:pt>
                <c:pt idx="3">
                  <c:v>Noor</c:v>
                </c:pt>
                <c:pt idx="4">
                  <c:v>Omar</c:v>
                </c:pt>
                <c:pt idx="5">
                  <c:v>Sara</c:v>
                </c:pt>
                <c:pt idx="6">
                  <c:v>(blank)</c:v>
                </c:pt>
              </c:strCache>
            </c:strRef>
          </c:cat>
          <c:val>
            <c:numRef>
              <c:f>Employee!$C$4:$C$11</c:f>
              <c:numCache>
                <c:formatCode>0.00\ "JOD"</c:formatCode>
                <c:ptCount val="7"/>
                <c:pt idx="0">
                  <c:v>53.68</c:v>
                </c:pt>
                <c:pt idx="1">
                  <c:v>88.42</c:v>
                </c:pt>
                <c:pt idx="2">
                  <c:v>91.34</c:v>
                </c:pt>
                <c:pt idx="3">
                  <c:v>64.14</c:v>
                </c:pt>
                <c:pt idx="4">
                  <c:v>119.60000000000002</c:v>
                </c:pt>
                <c:pt idx="5">
                  <c:v>55.129999999999995</c:v>
                </c:pt>
                <c:pt idx="6">
                  <c:v>7.1400000000000006</c:v>
                </c:pt>
              </c:numCache>
            </c:numRef>
          </c:val>
          <c:extLst>
            <c:ext xmlns:c16="http://schemas.microsoft.com/office/drawing/2014/chart" uri="{C3380CC4-5D6E-409C-BE32-E72D297353CC}">
              <c16:uniqueId val="{00000001-6CEC-49E4-AED9-4A84292D68CE}"/>
            </c:ext>
          </c:extLst>
        </c:ser>
        <c:dLbls>
          <c:showLegendKey val="0"/>
          <c:showVal val="0"/>
          <c:showCatName val="0"/>
          <c:showSerName val="0"/>
          <c:showPercent val="0"/>
          <c:showBubbleSize val="0"/>
        </c:dLbls>
        <c:gapWidth val="219"/>
        <c:overlap val="-27"/>
        <c:axId val="516747408"/>
        <c:axId val="516748464"/>
      </c:barChart>
      <c:catAx>
        <c:axId val="51674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48464"/>
        <c:crosses val="autoZero"/>
        <c:auto val="1"/>
        <c:lblAlgn val="ctr"/>
        <c:lblOffset val="100"/>
        <c:noMultiLvlLbl val="0"/>
      </c:catAx>
      <c:valAx>
        <c:axId val="516748464"/>
        <c:scaling>
          <c:orientation val="minMax"/>
        </c:scaling>
        <c:delete val="0"/>
        <c:axPos val="l"/>
        <c:majorGridlines>
          <c:spPr>
            <a:ln w="9525" cap="flat" cmpd="sng" algn="ctr">
              <a:solidFill>
                <a:schemeClr val="tx1">
                  <a:lumMod val="15000"/>
                  <a:lumOff val="85000"/>
                </a:schemeClr>
              </a:solid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4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t>Actual vs Target Margin by Item</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Item!$B$18</c:f>
              <c:strCache>
                <c:ptCount val="1"/>
                <c:pt idx="0">
                  <c:v>Actual Margin</c:v>
                </c:pt>
              </c:strCache>
            </c:strRef>
          </c:tx>
          <c:spPr>
            <a:solidFill>
              <a:schemeClr val="accent1"/>
            </a:solidFill>
            <a:ln>
              <a:noFill/>
            </a:ln>
            <a:effectLst/>
          </c:spPr>
          <c:invertIfNegative val="0"/>
          <c:cat>
            <c:strRef>
              <c:f>Item!$A$19:$A$28</c:f>
              <c:strCache>
                <c:ptCount val="10"/>
                <c:pt idx="0">
                  <c:v>Beef Burger</c:v>
                </c:pt>
                <c:pt idx="1">
                  <c:v>Pepperoni Pizza</c:v>
                </c:pt>
                <c:pt idx="2">
                  <c:v>Greek Salad</c:v>
                </c:pt>
                <c:pt idx="3">
                  <c:v>Chicken Pasta</c:v>
                </c:pt>
                <c:pt idx="4">
                  <c:v>Alfredo Pasta</c:v>
                </c:pt>
                <c:pt idx="5">
                  <c:v>Margherita Pizza</c:v>
                </c:pt>
                <c:pt idx="6">
                  <c:v>Caesar Salad</c:v>
                </c:pt>
                <c:pt idx="7">
                  <c:v>Soft Drink</c:v>
                </c:pt>
                <c:pt idx="8">
                  <c:v>Fresh Juice</c:v>
                </c:pt>
                <c:pt idx="9">
                  <c:v>Chicken Burger</c:v>
                </c:pt>
              </c:strCache>
            </c:strRef>
          </c:cat>
          <c:val>
            <c:numRef>
              <c:f>Item!$B$19:$B$28</c:f>
              <c:numCache>
                <c:formatCode>0.00%</c:formatCode>
                <c:ptCount val="10"/>
                <c:pt idx="0">
                  <c:v>0.31300395256916996</c:v>
                </c:pt>
                <c:pt idx="1">
                  <c:v>0.36281105990783408</c:v>
                </c:pt>
                <c:pt idx="2">
                  <c:v>0.41335311572700301</c:v>
                </c:pt>
                <c:pt idx="3">
                  <c:v>0.3402068965517242</c:v>
                </c:pt>
                <c:pt idx="4">
                  <c:v>0.32181818181818184</c:v>
                </c:pt>
                <c:pt idx="5">
                  <c:v>0.38903508771929823</c:v>
                </c:pt>
                <c:pt idx="6">
                  <c:v>0.44147869674185464</c:v>
                </c:pt>
                <c:pt idx="7">
                  <c:v>0.59855072463768122</c:v>
                </c:pt>
                <c:pt idx="8">
                  <c:v>0.50140000000000007</c:v>
                </c:pt>
                <c:pt idx="9">
                  <c:v>0.30533333333333335</c:v>
                </c:pt>
              </c:numCache>
            </c:numRef>
          </c:val>
          <c:extLst>
            <c:ext xmlns:c16="http://schemas.microsoft.com/office/drawing/2014/chart" uri="{C3380CC4-5D6E-409C-BE32-E72D297353CC}">
              <c16:uniqueId val="{00000000-38B5-441D-A2EA-5FF8A16BD2A8}"/>
            </c:ext>
          </c:extLst>
        </c:ser>
        <c:ser>
          <c:idx val="1"/>
          <c:order val="1"/>
          <c:tx>
            <c:strRef>
              <c:f>Item!$C$18</c:f>
              <c:strCache>
                <c:ptCount val="1"/>
                <c:pt idx="0">
                  <c:v>Target Margin</c:v>
                </c:pt>
              </c:strCache>
            </c:strRef>
          </c:tx>
          <c:spPr>
            <a:solidFill>
              <a:schemeClr val="accent2"/>
            </a:solidFill>
            <a:ln>
              <a:noFill/>
            </a:ln>
            <a:effectLst/>
          </c:spPr>
          <c:invertIfNegative val="0"/>
          <c:cat>
            <c:strRef>
              <c:f>Item!$A$19:$A$28</c:f>
              <c:strCache>
                <c:ptCount val="10"/>
                <c:pt idx="0">
                  <c:v>Beef Burger</c:v>
                </c:pt>
                <c:pt idx="1">
                  <c:v>Pepperoni Pizza</c:v>
                </c:pt>
                <c:pt idx="2">
                  <c:v>Greek Salad</c:v>
                </c:pt>
                <c:pt idx="3">
                  <c:v>Chicken Pasta</c:v>
                </c:pt>
                <c:pt idx="4">
                  <c:v>Alfredo Pasta</c:v>
                </c:pt>
                <c:pt idx="5">
                  <c:v>Margherita Pizza</c:v>
                </c:pt>
                <c:pt idx="6">
                  <c:v>Caesar Salad</c:v>
                </c:pt>
                <c:pt idx="7">
                  <c:v>Soft Drink</c:v>
                </c:pt>
                <c:pt idx="8">
                  <c:v>Fresh Juice</c:v>
                </c:pt>
                <c:pt idx="9">
                  <c:v>Chicken Burger</c:v>
                </c:pt>
              </c:strCache>
            </c:strRef>
          </c:cat>
          <c:val>
            <c:numRef>
              <c:f>Item!$C$19:$C$28</c:f>
              <c:numCache>
                <c:formatCode>0.00%</c:formatCode>
                <c:ptCount val="10"/>
                <c:pt idx="0">
                  <c:v>0.34999999999999992</c:v>
                </c:pt>
                <c:pt idx="1">
                  <c:v>0.36000000000000004</c:v>
                </c:pt>
                <c:pt idx="2">
                  <c:v>0.4</c:v>
                </c:pt>
                <c:pt idx="3">
                  <c:v>0.33999999999999997</c:v>
                </c:pt>
                <c:pt idx="4">
                  <c:v>0.32999999999999996</c:v>
                </c:pt>
                <c:pt idx="5">
                  <c:v>0.38000000000000006</c:v>
                </c:pt>
                <c:pt idx="6">
                  <c:v>0.42</c:v>
                </c:pt>
                <c:pt idx="7">
                  <c:v>0.55000000000000004</c:v>
                </c:pt>
                <c:pt idx="8">
                  <c:v>0.48</c:v>
                </c:pt>
                <c:pt idx="9">
                  <c:v>0.32</c:v>
                </c:pt>
              </c:numCache>
            </c:numRef>
          </c:val>
          <c:extLst>
            <c:ext xmlns:c16="http://schemas.microsoft.com/office/drawing/2014/chart" uri="{C3380CC4-5D6E-409C-BE32-E72D297353CC}">
              <c16:uniqueId val="{00000001-38B5-441D-A2EA-5FF8A16BD2A8}"/>
            </c:ext>
          </c:extLst>
        </c:ser>
        <c:dLbls>
          <c:showLegendKey val="0"/>
          <c:showVal val="0"/>
          <c:showCatName val="0"/>
          <c:showSerName val="0"/>
          <c:showPercent val="0"/>
          <c:showBubbleSize val="0"/>
        </c:dLbls>
        <c:gapWidth val="219"/>
        <c:overlap val="-27"/>
        <c:axId val="615538112"/>
        <c:axId val="615545856"/>
      </c:barChart>
      <c:catAx>
        <c:axId val="61553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45856"/>
        <c:crosses val="autoZero"/>
        <c:auto val="1"/>
        <c:lblAlgn val="ctr"/>
        <c:lblOffset val="100"/>
        <c:noMultiLvlLbl val="0"/>
      </c:catAx>
      <c:valAx>
        <c:axId val="615545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38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[Restaurant_Sales_Performance_Analysis.xlsx]Branch!PivotTable3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t>Revenue &amp; Profit by Branch</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Branch!$B$3</c:f>
              <c:strCache>
                <c:ptCount val="1"/>
                <c:pt idx="0">
                  <c:v> Revenue</c:v>
                </c:pt>
              </c:strCache>
            </c:strRef>
          </c:tx>
          <c:spPr>
            <a:solidFill>
              <a:schemeClr val="accent1"/>
            </a:solidFill>
            <a:ln>
              <a:noFill/>
            </a:ln>
            <a:effectLst/>
          </c:spPr>
          <c:invertIfNegative val="0"/>
          <c:cat>
            <c:strRef>
              <c:f>Branch!$A$4:$A$7</c:f>
              <c:strCache>
                <c:ptCount val="3"/>
                <c:pt idx="0">
                  <c:v>Amman</c:v>
                </c:pt>
                <c:pt idx="1">
                  <c:v>Irbid</c:v>
                </c:pt>
                <c:pt idx="2">
                  <c:v>Zarqa</c:v>
                </c:pt>
              </c:strCache>
            </c:strRef>
          </c:cat>
          <c:val>
            <c:numRef>
              <c:f>Branch!$B$4:$B$7</c:f>
              <c:numCache>
                <c:formatCode>0.00\ "JOD"</c:formatCode>
                <c:ptCount val="3"/>
                <c:pt idx="0">
                  <c:v>583.5</c:v>
                </c:pt>
                <c:pt idx="1">
                  <c:v>367.39999999999992</c:v>
                </c:pt>
                <c:pt idx="2">
                  <c:v>336.59999999999997</c:v>
                </c:pt>
              </c:numCache>
            </c:numRef>
          </c:val>
          <c:extLst>
            <c:ext xmlns:c16="http://schemas.microsoft.com/office/drawing/2014/chart" uri="{C3380CC4-5D6E-409C-BE32-E72D297353CC}">
              <c16:uniqueId val="{00000000-9304-4F6D-9381-8C01668E6271}"/>
            </c:ext>
          </c:extLst>
        </c:ser>
        <c:ser>
          <c:idx val="1"/>
          <c:order val="1"/>
          <c:tx>
            <c:strRef>
              <c:f>Branch!$C$3</c:f>
              <c:strCache>
                <c:ptCount val="1"/>
                <c:pt idx="0">
                  <c:v> proft</c:v>
                </c:pt>
              </c:strCache>
            </c:strRef>
          </c:tx>
          <c:spPr>
            <a:solidFill>
              <a:schemeClr val="accent2"/>
            </a:solidFill>
            <a:ln>
              <a:noFill/>
            </a:ln>
            <a:effectLst/>
          </c:spPr>
          <c:invertIfNegative val="0"/>
          <c:cat>
            <c:strRef>
              <c:f>Branch!$A$4:$A$7</c:f>
              <c:strCache>
                <c:ptCount val="3"/>
                <c:pt idx="0">
                  <c:v>Amman</c:v>
                </c:pt>
                <c:pt idx="1">
                  <c:v>Irbid</c:v>
                </c:pt>
                <c:pt idx="2">
                  <c:v>Zarqa</c:v>
                </c:pt>
              </c:strCache>
            </c:strRef>
          </c:cat>
          <c:val>
            <c:numRef>
              <c:f>Branch!$C$4:$C$7</c:f>
              <c:numCache>
                <c:formatCode>0.00</c:formatCode>
                <c:ptCount val="3"/>
                <c:pt idx="0">
                  <c:v>213.90000000000003</c:v>
                </c:pt>
                <c:pt idx="1">
                  <c:v>144.24</c:v>
                </c:pt>
                <c:pt idx="2">
                  <c:v>121.31000000000003</c:v>
                </c:pt>
              </c:numCache>
            </c:numRef>
          </c:val>
          <c:extLst>
            <c:ext xmlns:c16="http://schemas.microsoft.com/office/drawing/2014/chart" uri="{C3380CC4-5D6E-409C-BE32-E72D297353CC}">
              <c16:uniqueId val="{00000001-9304-4F6D-9381-8C01668E6271}"/>
            </c:ext>
          </c:extLst>
        </c:ser>
        <c:dLbls>
          <c:showLegendKey val="0"/>
          <c:showVal val="0"/>
          <c:showCatName val="0"/>
          <c:showSerName val="0"/>
          <c:showPercent val="0"/>
          <c:showBubbleSize val="0"/>
        </c:dLbls>
        <c:gapWidth val="219"/>
        <c:overlap val="-27"/>
        <c:axId val="723482760"/>
        <c:axId val="723485224"/>
      </c:barChart>
      <c:catAx>
        <c:axId val="723482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85224"/>
        <c:crosses val="autoZero"/>
        <c:auto val="1"/>
        <c:lblAlgn val="ctr"/>
        <c:lblOffset val="100"/>
        <c:noMultiLvlLbl val="0"/>
      </c:catAx>
      <c:valAx>
        <c:axId val="723485224"/>
        <c:scaling>
          <c:orientation val="minMax"/>
        </c:scaling>
        <c:delete val="0"/>
        <c:axPos val="l"/>
        <c:majorGridlines>
          <c:spPr>
            <a:ln w="9525" cap="flat" cmpd="sng" algn="ctr">
              <a:solidFill>
                <a:schemeClr val="tx1">
                  <a:lumMod val="15000"/>
                  <a:lumOff val="85000"/>
                </a:schemeClr>
              </a:solid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82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[Restaurant_Sales_Performance_Analysis.xlsx]Channel!PivotTable1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t>Revenue &amp; Profit by Channel</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s>
    <c:plotArea>
      <c:layout/>
      <c:barChart>
        <c:barDir val="col"/>
        <c:grouping val="clustered"/>
        <c:varyColors val="0"/>
        <c:ser>
          <c:idx val="0"/>
          <c:order val="0"/>
          <c:tx>
            <c:strRef>
              <c:f>Channel!$B$3</c:f>
              <c:strCache>
                <c:ptCount val="1"/>
                <c:pt idx="0">
                  <c:v> proft</c:v>
                </c:pt>
              </c:strCache>
            </c:strRef>
          </c:tx>
          <c:spPr>
            <a:solidFill>
              <a:schemeClr val="accent2"/>
            </a:solidFill>
            <a:ln>
              <a:noFill/>
            </a:ln>
            <a:effectLst/>
          </c:spPr>
          <c:invertIfNegative val="0"/>
          <c:cat>
            <c:strRef>
              <c:f>Channel!$A$4:$A$7</c:f>
              <c:strCache>
                <c:ptCount val="3"/>
                <c:pt idx="0">
                  <c:v>Dine-in</c:v>
                </c:pt>
                <c:pt idx="1">
                  <c:v>Delivery</c:v>
                </c:pt>
                <c:pt idx="2">
                  <c:v>Takeaway</c:v>
                </c:pt>
              </c:strCache>
            </c:strRef>
          </c:cat>
          <c:val>
            <c:numRef>
              <c:f>Channel!$B$4:$B$7</c:f>
              <c:numCache>
                <c:formatCode>0.00</c:formatCode>
                <c:ptCount val="3"/>
                <c:pt idx="0">
                  <c:v>172.14000000000001</c:v>
                </c:pt>
                <c:pt idx="1">
                  <c:v>162.05999999999995</c:v>
                </c:pt>
                <c:pt idx="2">
                  <c:v>145.24999999999997</c:v>
                </c:pt>
              </c:numCache>
            </c:numRef>
          </c:val>
          <c:extLst>
            <c:ext xmlns:c16="http://schemas.microsoft.com/office/drawing/2014/chart" uri="{C3380CC4-5D6E-409C-BE32-E72D297353CC}">
              <c16:uniqueId val="{00000000-30C7-4242-AFE4-C84138DDF288}"/>
            </c:ext>
          </c:extLst>
        </c:ser>
        <c:ser>
          <c:idx val="1"/>
          <c:order val="1"/>
          <c:tx>
            <c:strRef>
              <c:f>Channel!$C$3</c:f>
              <c:strCache>
                <c:ptCount val="1"/>
                <c:pt idx="0">
                  <c:v> Revenue</c:v>
                </c:pt>
              </c:strCache>
            </c:strRef>
          </c:tx>
          <c:spPr>
            <a:solidFill>
              <a:schemeClr val="accent1"/>
            </a:solidFill>
            <a:ln>
              <a:noFill/>
            </a:ln>
            <a:effectLst/>
          </c:spPr>
          <c:invertIfNegative val="0"/>
          <c:cat>
            <c:strRef>
              <c:f>Channel!$A$4:$A$7</c:f>
              <c:strCache>
                <c:ptCount val="3"/>
                <c:pt idx="0">
                  <c:v>Dine-in</c:v>
                </c:pt>
                <c:pt idx="1">
                  <c:v>Delivery</c:v>
                </c:pt>
                <c:pt idx="2">
                  <c:v>Takeaway</c:v>
                </c:pt>
              </c:strCache>
            </c:strRef>
          </c:cat>
          <c:val>
            <c:numRef>
              <c:f>Channel!$C$4:$C$7</c:f>
              <c:numCache>
                <c:formatCode>0.00\ "JOD"</c:formatCode>
                <c:ptCount val="3"/>
                <c:pt idx="0">
                  <c:v>467.1</c:v>
                </c:pt>
                <c:pt idx="1">
                  <c:v>439.79999999999995</c:v>
                </c:pt>
                <c:pt idx="2">
                  <c:v>380.59999999999997</c:v>
                </c:pt>
              </c:numCache>
            </c:numRef>
          </c:val>
          <c:extLst>
            <c:ext xmlns:c16="http://schemas.microsoft.com/office/drawing/2014/chart" uri="{C3380CC4-5D6E-409C-BE32-E72D297353CC}">
              <c16:uniqueId val="{00000001-30C7-4242-AFE4-C84138DDF288}"/>
            </c:ext>
          </c:extLst>
        </c:ser>
        <c:dLbls>
          <c:showLegendKey val="0"/>
          <c:showVal val="0"/>
          <c:showCatName val="0"/>
          <c:showSerName val="0"/>
          <c:showPercent val="0"/>
          <c:showBubbleSize val="0"/>
        </c:dLbls>
        <c:gapWidth val="219"/>
        <c:overlap val="-27"/>
        <c:axId val="694468232"/>
        <c:axId val="694469288"/>
      </c:barChart>
      <c:catAx>
        <c:axId val="69446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69288"/>
        <c:crosses val="autoZero"/>
        <c:auto val="1"/>
        <c:lblAlgn val="ctr"/>
        <c:lblOffset val="100"/>
        <c:noMultiLvlLbl val="0"/>
      </c:catAx>
      <c:valAx>
        <c:axId val="694469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68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[Restaurant_Sales_Performance_Analysis.xlsx]Employee!PivotTable2</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0" i="0" u="none" strike="noStrike" baseline="0"/>
              <a:t>Revenue &amp; Profit by Employee</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80805630290721"/>
          <c:y val="0.18666708046413469"/>
          <c:w val="0.54268982821329603"/>
          <c:h val="0.57767830411192977"/>
        </c:manualLayout>
      </c:layout>
      <c:barChart>
        <c:barDir val="col"/>
        <c:grouping val="clustered"/>
        <c:varyColors val="0"/>
        <c:ser>
          <c:idx val="0"/>
          <c:order val="0"/>
          <c:tx>
            <c:strRef>
              <c:f>Employee!$B$3</c:f>
              <c:strCache>
                <c:ptCount val="1"/>
                <c:pt idx="0">
                  <c:v> Revenue</c:v>
                </c:pt>
              </c:strCache>
            </c:strRef>
          </c:tx>
          <c:spPr>
            <a:solidFill>
              <a:schemeClr val="accent1"/>
            </a:solidFill>
            <a:ln>
              <a:noFill/>
            </a:ln>
            <a:effectLst/>
          </c:spPr>
          <c:invertIfNegative val="0"/>
          <c:cat>
            <c:strRef>
              <c:f>Employee!$A$4:$A$11</c:f>
              <c:strCache>
                <c:ptCount val="7"/>
                <c:pt idx="0">
                  <c:v>Ali</c:v>
                </c:pt>
                <c:pt idx="1">
                  <c:v>Lina</c:v>
                </c:pt>
                <c:pt idx="2">
                  <c:v>Mooath</c:v>
                </c:pt>
                <c:pt idx="3">
                  <c:v>Noor</c:v>
                </c:pt>
                <c:pt idx="4">
                  <c:v>Omar</c:v>
                </c:pt>
                <c:pt idx="5">
                  <c:v>Sara</c:v>
                </c:pt>
                <c:pt idx="6">
                  <c:v>(blank)</c:v>
                </c:pt>
              </c:strCache>
            </c:strRef>
          </c:cat>
          <c:val>
            <c:numRef>
              <c:f>Employee!$B$4:$B$11</c:f>
              <c:numCache>
                <c:formatCode>0.00\ "JOD"</c:formatCode>
                <c:ptCount val="7"/>
                <c:pt idx="0">
                  <c:v>144.9</c:v>
                </c:pt>
                <c:pt idx="1">
                  <c:v>247.8</c:v>
                </c:pt>
                <c:pt idx="2">
                  <c:v>232</c:v>
                </c:pt>
                <c:pt idx="3">
                  <c:v>163.19999999999999</c:v>
                </c:pt>
                <c:pt idx="4">
                  <c:v>330.2</c:v>
                </c:pt>
                <c:pt idx="5">
                  <c:v>149.4</c:v>
                </c:pt>
                <c:pt idx="6">
                  <c:v>20</c:v>
                </c:pt>
              </c:numCache>
            </c:numRef>
          </c:val>
          <c:extLst>
            <c:ext xmlns:c16="http://schemas.microsoft.com/office/drawing/2014/chart" uri="{C3380CC4-5D6E-409C-BE32-E72D297353CC}">
              <c16:uniqueId val="{00000000-4CA1-4890-BDCD-17C5BBBFE6BD}"/>
            </c:ext>
          </c:extLst>
        </c:ser>
        <c:ser>
          <c:idx val="1"/>
          <c:order val="1"/>
          <c:tx>
            <c:strRef>
              <c:f>Employee!$C$3</c:f>
              <c:strCache>
                <c:ptCount val="1"/>
                <c:pt idx="0">
                  <c:v> proft</c:v>
                </c:pt>
              </c:strCache>
            </c:strRef>
          </c:tx>
          <c:spPr>
            <a:solidFill>
              <a:schemeClr val="accent2"/>
            </a:solidFill>
            <a:ln>
              <a:noFill/>
            </a:ln>
            <a:effectLst/>
          </c:spPr>
          <c:invertIfNegative val="0"/>
          <c:cat>
            <c:strRef>
              <c:f>Employee!$A$4:$A$11</c:f>
              <c:strCache>
                <c:ptCount val="7"/>
                <c:pt idx="0">
                  <c:v>Ali</c:v>
                </c:pt>
                <c:pt idx="1">
                  <c:v>Lina</c:v>
                </c:pt>
                <c:pt idx="2">
                  <c:v>Mooath</c:v>
                </c:pt>
                <c:pt idx="3">
                  <c:v>Noor</c:v>
                </c:pt>
                <c:pt idx="4">
                  <c:v>Omar</c:v>
                </c:pt>
                <c:pt idx="5">
                  <c:v>Sara</c:v>
                </c:pt>
                <c:pt idx="6">
                  <c:v>(blank)</c:v>
                </c:pt>
              </c:strCache>
            </c:strRef>
          </c:cat>
          <c:val>
            <c:numRef>
              <c:f>Employee!$C$4:$C$11</c:f>
              <c:numCache>
                <c:formatCode>0.00\ "JOD"</c:formatCode>
                <c:ptCount val="7"/>
                <c:pt idx="0">
                  <c:v>53.68</c:v>
                </c:pt>
                <c:pt idx="1">
                  <c:v>88.42</c:v>
                </c:pt>
                <c:pt idx="2">
                  <c:v>91.34</c:v>
                </c:pt>
                <c:pt idx="3">
                  <c:v>64.14</c:v>
                </c:pt>
                <c:pt idx="4">
                  <c:v>119.60000000000002</c:v>
                </c:pt>
                <c:pt idx="5">
                  <c:v>55.129999999999995</c:v>
                </c:pt>
                <c:pt idx="6">
                  <c:v>7.1400000000000006</c:v>
                </c:pt>
              </c:numCache>
            </c:numRef>
          </c:val>
          <c:extLst>
            <c:ext xmlns:c16="http://schemas.microsoft.com/office/drawing/2014/chart" uri="{C3380CC4-5D6E-409C-BE32-E72D297353CC}">
              <c16:uniqueId val="{00000001-4CA1-4890-BDCD-17C5BBBFE6BD}"/>
            </c:ext>
          </c:extLst>
        </c:ser>
        <c:dLbls>
          <c:showLegendKey val="0"/>
          <c:showVal val="0"/>
          <c:showCatName val="0"/>
          <c:showSerName val="0"/>
          <c:showPercent val="0"/>
          <c:showBubbleSize val="0"/>
        </c:dLbls>
        <c:gapWidth val="219"/>
        <c:overlap val="-27"/>
        <c:axId val="516747408"/>
        <c:axId val="516748464"/>
      </c:barChart>
      <c:catAx>
        <c:axId val="51674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48464"/>
        <c:crosses val="autoZero"/>
        <c:auto val="1"/>
        <c:lblAlgn val="ctr"/>
        <c:lblOffset val="100"/>
        <c:noMultiLvlLbl val="0"/>
      </c:catAx>
      <c:valAx>
        <c:axId val="516748464"/>
        <c:scaling>
          <c:orientation val="minMax"/>
        </c:scaling>
        <c:delete val="0"/>
        <c:axPos val="l"/>
        <c:majorGridlines>
          <c:spPr>
            <a:ln w="9525" cap="flat" cmpd="sng" algn="ctr">
              <a:solidFill>
                <a:schemeClr val="tx1">
                  <a:lumMod val="15000"/>
                  <a:lumOff val="85000"/>
                </a:schemeClr>
              </a:solid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4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t>Actual vs Target Margin by Item</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Item!$B$18</c:f>
              <c:strCache>
                <c:ptCount val="1"/>
                <c:pt idx="0">
                  <c:v>Actual Margin</c:v>
                </c:pt>
              </c:strCache>
            </c:strRef>
          </c:tx>
          <c:spPr>
            <a:solidFill>
              <a:schemeClr val="accent1"/>
            </a:solidFill>
            <a:ln>
              <a:noFill/>
            </a:ln>
            <a:effectLst/>
          </c:spPr>
          <c:invertIfNegative val="0"/>
          <c:cat>
            <c:strRef>
              <c:f>Item!$A$19:$A$28</c:f>
              <c:strCache>
                <c:ptCount val="10"/>
                <c:pt idx="0">
                  <c:v>Beef Burger</c:v>
                </c:pt>
                <c:pt idx="1">
                  <c:v>Pepperoni Pizza</c:v>
                </c:pt>
                <c:pt idx="2">
                  <c:v>Greek Salad</c:v>
                </c:pt>
                <c:pt idx="3">
                  <c:v>Chicken Pasta</c:v>
                </c:pt>
                <c:pt idx="4">
                  <c:v>Alfredo Pasta</c:v>
                </c:pt>
                <c:pt idx="5">
                  <c:v>Margherita Pizza</c:v>
                </c:pt>
                <c:pt idx="6">
                  <c:v>Caesar Salad</c:v>
                </c:pt>
                <c:pt idx="7">
                  <c:v>Soft Drink</c:v>
                </c:pt>
                <c:pt idx="8">
                  <c:v>Fresh Juice</c:v>
                </c:pt>
                <c:pt idx="9">
                  <c:v>Chicken Burger</c:v>
                </c:pt>
              </c:strCache>
            </c:strRef>
          </c:cat>
          <c:val>
            <c:numRef>
              <c:f>Item!$B$19:$B$28</c:f>
              <c:numCache>
                <c:formatCode>0.00%</c:formatCode>
                <c:ptCount val="10"/>
                <c:pt idx="0">
                  <c:v>0.31300395256916996</c:v>
                </c:pt>
                <c:pt idx="1">
                  <c:v>0.36281105990783408</c:v>
                </c:pt>
                <c:pt idx="2">
                  <c:v>0.41335311572700301</c:v>
                </c:pt>
                <c:pt idx="3">
                  <c:v>0.3402068965517242</c:v>
                </c:pt>
                <c:pt idx="4">
                  <c:v>0.32181818181818184</c:v>
                </c:pt>
                <c:pt idx="5">
                  <c:v>0.38903508771929823</c:v>
                </c:pt>
                <c:pt idx="6">
                  <c:v>0.44147869674185464</c:v>
                </c:pt>
                <c:pt idx="7">
                  <c:v>0.59855072463768122</c:v>
                </c:pt>
                <c:pt idx="8">
                  <c:v>0.50140000000000007</c:v>
                </c:pt>
                <c:pt idx="9">
                  <c:v>0.30533333333333335</c:v>
                </c:pt>
              </c:numCache>
            </c:numRef>
          </c:val>
          <c:extLst>
            <c:ext xmlns:c16="http://schemas.microsoft.com/office/drawing/2014/chart" uri="{C3380CC4-5D6E-409C-BE32-E72D297353CC}">
              <c16:uniqueId val="{00000000-87E9-4B17-80A7-B1F56CA567C8}"/>
            </c:ext>
          </c:extLst>
        </c:ser>
        <c:ser>
          <c:idx val="1"/>
          <c:order val="1"/>
          <c:tx>
            <c:strRef>
              <c:f>Item!$C$18</c:f>
              <c:strCache>
                <c:ptCount val="1"/>
                <c:pt idx="0">
                  <c:v>Target Margin</c:v>
                </c:pt>
              </c:strCache>
            </c:strRef>
          </c:tx>
          <c:spPr>
            <a:solidFill>
              <a:schemeClr val="accent2"/>
            </a:solidFill>
            <a:ln>
              <a:noFill/>
            </a:ln>
            <a:effectLst/>
          </c:spPr>
          <c:invertIfNegative val="0"/>
          <c:cat>
            <c:strRef>
              <c:f>Item!$A$19:$A$28</c:f>
              <c:strCache>
                <c:ptCount val="10"/>
                <c:pt idx="0">
                  <c:v>Beef Burger</c:v>
                </c:pt>
                <c:pt idx="1">
                  <c:v>Pepperoni Pizza</c:v>
                </c:pt>
                <c:pt idx="2">
                  <c:v>Greek Salad</c:v>
                </c:pt>
                <c:pt idx="3">
                  <c:v>Chicken Pasta</c:v>
                </c:pt>
                <c:pt idx="4">
                  <c:v>Alfredo Pasta</c:v>
                </c:pt>
                <c:pt idx="5">
                  <c:v>Margherita Pizza</c:v>
                </c:pt>
                <c:pt idx="6">
                  <c:v>Caesar Salad</c:v>
                </c:pt>
                <c:pt idx="7">
                  <c:v>Soft Drink</c:v>
                </c:pt>
                <c:pt idx="8">
                  <c:v>Fresh Juice</c:v>
                </c:pt>
                <c:pt idx="9">
                  <c:v>Chicken Burger</c:v>
                </c:pt>
              </c:strCache>
            </c:strRef>
          </c:cat>
          <c:val>
            <c:numRef>
              <c:f>Item!$C$19:$C$28</c:f>
              <c:numCache>
                <c:formatCode>0.00%</c:formatCode>
                <c:ptCount val="10"/>
                <c:pt idx="0">
                  <c:v>0.34999999999999992</c:v>
                </c:pt>
                <c:pt idx="1">
                  <c:v>0.36000000000000004</c:v>
                </c:pt>
                <c:pt idx="2">
                  <c:v>0.4</c:v>
                </c:pt>
                <c:pt idx="3">
                  <c:v>0.33999999999999997</c:v>
                </c:pt>
                <c:pt idx="4">
                  <c:v>0.32999999999999996</c:v>
                </c:pt>
                <c:pt idx="5">
                  <c:v>0.38000000000000006</c:v>
                </c:pt>
                <c:pt idx="6">
                  <c:v>0.42</c:v>
                </c:pt>
                <c:pt idx="7">
                  <c:v>0.55000000000000004</c:v>
                </c:pt>
                <c:pt idx="8">
                  <c:v>0.48</c:v>
                </c:pt>
                <c:pt idx="9">
                  <c:v>0.32</c:v>
                </c:pt>
              </c:numCache>
            </c:numRef>
          </c:val>
          <c:extLst>
            <c:ext xmlns:c16="http://schemas.microsoft.com/office/drawing/2014/chart" uri="{C3380CC4-5D6E-409C-BE32-E72D297353CC}">
              <c16:uniqueId val="{00000001-87E9-4B17-80A7-B1F56CA567C8}"/>
            </c:ext>
          </c:extLst>
        </c:ser>
        <c:dLbls>
          <c:showLegendKey val="0"/>
          <c:showVal val="0"/>
          <c:showCatName val="0"/>
          <c:showSerName val="0"/>
          <c:showPercent val="0"/>
          <c:showBubbleSize val="0"/>
        </c:dLbls>
        <c:gapWidth val="219"/>
        <c:overlap val="-27"/>
        <c:axId val="615538112"/>
        <c:axId val="615545856"/>
      </c:barChart>
      <c:catAx>
        <c:axId val="61553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45856"/>
        <c:crosses val="autoZero"/>
        <c:auto val="1"/>
        <c:lblAlgn val="ctr"/>
        <c:lblOffset val="100"/>
        <c:noMultiLvlLbl val="0"/>
      </c:catAx>
      <c:valAx>
        <c:axId val="615545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38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Menu_Lookup!$A$2:$B$11</c:f>
              <c:multiLvlStrCache>
                <c:ptCount val="10"/>
                <c:lvl>
                  <c:pt idx="0">
                    <c:v>Burgers</c:v>
                  </c:pt>
                  <c:pt idx="1">
                    <c:v>Pasta</c:v>
                  </c:pt>
                  <c:pt idx="2">
                    <c:v>Pasta</c:v>
                  </c:pt>
                  <c:pt idx="3">
                    <c:v>Burgers</c:v>
                  </c:pt>
                  <c:pt idx="4">
                    <c:v>Pizza</c:v>
                  </c:pt>
                  <c:pt idx="5">
                    <c:v>Pizza</c:v>
                  </c:pt>
                  <c:pt idx="6">
                    <c:v>Salads</c:v>
                  </c:pt>
                  <c:pt idx="7">
                    <c:v>Salads</c:v>
                  </c:pt>
                  <c:pt idx="8">
                    <c:v>Beverages</c:v>
                  </c:pt>
                  <c:pt idx="9">
                    <c:v>Beverages</c:v>
                  </c:pt>
                </c:lvl>
                <c:lvl>
                  <c:pt idx="0">
                    <c:v>Chicken Burger</c:v>
                  </c:pt>
                  <c:pt idx="1">
                    <c:v>Alfredo Pasta</c:v>
                  </c:pt>
                  <c:pt idx="2">
                    <c:v>Chicken Pasta</c:v>
                  </c:pt>
                  <c:pt idx="3">
                    <c:v>Beef Burger</c:v>
                  </c:pt>
                  <c:pt idx="4">
                    <c:v>Pepperoni Pizza</c:v>
                  </c:pt>
                  <c:pt idx="5">
                    <c:v>Margherita Pizza</c:v>
                  </c:pt>
                  <c:pt idx="6">
                    <c:v>Greek Salad</c:v>
                  </c:pt>
                  <c:pt idx="7">
                    <c:v>Caesar Salad</c:v>
                  </c:pt>
                  <c:pt idx="8">
                    <c:v>Fresh Juice</c:v>
                  </c:pt>
                  <c:pt idx="9">
                    <c:v>Soft Drink</c:v>
                  </c:pt>
                </c:lvl>
              </c:multiLvlStrCache>
            </c:multiLvlStrRef>
          </c:cat>
          <c:val>
            <c:numRef>
              <c:f>Menu_Lookup!$C$2:$C$11</c:f>
              <c:numCache>
                <c:formatCode>0%</c:formatCode>
                <c:ptCount val="10"/>
                <c:pt idx="0">
                  <c:v>0.32</c:v>
                </c:pt>
                <c:pt idx="1">
                  <c:v>0.33</c:v>
                </c:pt>
                <c:pt idx="2">
                  <c:v>0.34</c:v>
                </c:pt>
                <c:pt idx="3">
                  <c:v>0.35</c:v>
                </c:pt>
                <c:pt idx="4">
                  <c:v>0.36</c:v>
                </c:pt>
                <c:pt idx="5">
                  <c:v>0.38</c:v>
                </c:pt>
                <c:pt idx="6">
                  <c:v>0.4</c:v>
                </c:pt>
                <c:pt idx="7">
                  <c:v>0.42</c:v>
                </c:pt>
                <c:pt idx="8">
                  <c:v>0.48</c:v>
                </c:pt>
                <c:pt idx="9">
                  <c:v>0.55000000000000004</c:v>
                </c:pt>
              </c:numCache>
            </c:numRef>
          </c:val>
          <c:extLst>
            <c:ext xmlns:c16="http://schemas.microsoft.com/office/drawing/2014/chart" uri="{C3380CC4-5D6E-409C-BE32-E72D297353CC}">
              <c16:uniqueId val="{00000000-7A15-44B4-8293-E4ED939404B2}"/>
            </c:ext>
          </c:extLst>
        </c:ser>
        <c:dLbls>
          <c:showLegendKey val="0"/>
          <c:showVal val="0"/>
          <c:showCatName val="0"/>
          <c:showSerName val="0"/>
          <c:showPercent val="0"/>
          <c:showBubbleSize val="0"/>
        </c:dLbls>
        <c:gapWidth val="219"/>
        <c:overlap val="-27"/>
        <c:axId val="627024456"/>
        <c:axId val="627027624"/>
      </c:barChart>
      <c:catAx>
        <c:axId val="62702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27624"/>
        <c:crosses val="autoZero"/>
        <c:auto val="1"/>
        <c:lblAlgn val="ctr"/>
        <c:lblOffset val="100"/>
        <c:noMultiLvlLbl val="0"/>
      </c:catAx>
      <c:valAx>
        <c:axId val="627027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24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279399</xdr:colOff>
      <xdr:row>0</xdr:row>
      <xdr:rowOff>79375</xdr:rowOff>
    </xdr:from>
    <xdr:to>
      <xdr:col>11</xdr:col>
      <xdr:colOff>609600</xdr:colOff>
      <xdr:row>13</xdr:row>
      <xdr:rowOff>19050</xdr:rowOff>
    </xdr:to>
    <xdr:graphicFrame macro="">
      <xdr:nvGraphicFramePr>
        <xdr:cNvPr id="2" name="Chart 1">
          <a:extLst>
            <a:ext uri="{FF2B5EF4-FFF2-40B4-BE49-F238E27FC236}">
              <a16:creationId xmlns:a16="http://schemas.microsoft.com/office/drawing/2014/main" id="{B52BA6D0-BE25-CE89-AB67-C17DD438F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368300</xdr:colOff>
      <xdr:row>2</xdr:row>
      <xdr:rowOff>47625</xdr:rowOff>
    </xdr:from>
    <xdr:to>
      <xdr:col>10</xdr:col>
      <xdr:colOff>323850</xdr:colOff>
      <xdr:row>14</xdr:row>
      <xdr:rowOff>127000</xdr:rowOff>
    </xdr:to>
    <xdr:graphicFrame macro="">
      <xdr:nvGraphicFramePr>
        <xdr:cNvPr id="2" name="Chart 1">
          <a:extLst>
            <a:ext uri="{FF2B5EF4-FFF2-40B4-BE49-F238E27FC236}">
              <a16:creationId xmlns:a16="http://schemas.microsoft.com/office/drawing/2014/main" id="{452B9134-32EE-8DF0-AB7D-E37B5156D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1</xdr:row>
      <xdr:rowOff>139700</xdr:rowOff>
    </xdr:from>
    <xdr:to>
      <xdr:col>13</xdr:col>
      <xdr:colOff>419100</xdr:colOff>
      <xdr:row>15</xdr:row>
      <xdr:rowOff>89953</xdr:rowOff>
    </xdr:to>
    <mc:AlternateContent xmlns:mc="http://schemas.openxmlformats.org/markup-compatibility/2006" xmlns:a14="http://schemas.microsoft.com/office/drawing/2010/main">
      <mc:Choice Requires="a14">
        <xdr:graphicFrame macro="">
          <xdr:nvGraphicFramePr>
            <xdr:cNvPr id="3" name="Channel">
              <a:extLst>
                <a:ext uri="{FF2B5EF4-FFF2-40B4-BE49-F238E27FC236}">
                  <a16:creationId xmlns:a16="http://schemas.microsoft.com/office/drawing/2014/main" id="{469BBB4D-EA98-2812-0236-D23D25AEF5E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553450" y="3175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336550</xdr:colOff>
      <xdr:row>2</xdr:row>
      <xdr:rowOff>41275</xdr:rowOff>
    </xdr:from>
    <xdr:to>
      <xdr:col>11</xdr:col>
      <xdr:colOff>285750</xdr:colOff>
      <xdr:row>17</xdr:row>
      <xdr:rowOff>117475</xdr:rowOff>
    </xdr:to>
    <xdr:graphicFrame macro="">
      <xdr:nvGraphicFramePr>
        <xdr:cNvPr id="2" name="Chart 1">
          <a:extLst>
            <a:ext uri="{FF2B5EF4-FFF2-40B4-BE49-F238E27FC236}">
              <a16:creationId xmlns:a16="http://schemas.microsoft.com/office/drawing/2014/main" id="{4CEFEF4B-9647-970E-EB06-A91F3BF98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520700</xdr:colOff>
      <xdr:row>2</xdr:row>
      <xdr:rowOff>88900</xdr:rowOff>
    </xdr:from>
    <xdr:to>
      <xdr:col>14</xdr:col>
      <xdr:colOff>368300</xdr:colOff>
      <xdr:row>16</xdr:row>
      <xdr:rowOff>39153</xdr:rowOff>
    </xdr:to>
    <mc:AlternateContent xmlns:mc="http://schemas.openxmlformats.org/markup-compatibility/2006" xmlns:a14="http://schemas.microsoft.com/office/drawing/2010/main">
      <mc:Choice Requires="a14">
        <xdr:graphicFrame macro="">
          <xdr:nvGraphicFramePr>
            <xdr:cNvPr id="3" name="Employee">
              <a:extLst>
                <a:ext uri="{FF2B5EF4-FFF2-40B4-BE49-F238E27FC236}">
                  <a16:creationId xmlns:a16="http://schemas.microsoft.com/office/drawing/2014/main" id="{1B7A44E4-2B5B-73CB-E3E5-1587F3470198}"/>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9163050" y="4445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647700</xdr:colOff>
      <xdr:row>15</xdr:row>
      <xdr:rowOff>111125</xdr:rowOff>
    </xdr:from>
    <xdr:to>
      <xdr:col>9</xdr:col>
      <xdr:colOff>457200</xdr:colOff>
      <xdr:row>30</xdr:row>
      <xdr:rowOff>142875</xdr:rowOff>
    </xdr:to>
    <xdr:graphicFrame macro="">
      <xdr:nvGraphicFramePr>
        <xdr:cNvPr id="3" name="Chart 2">
          <a:extLst>
            <a:ext uri="{FF2B5EF4-FFF2-40B4-BE49-F238E27FC236}">
              <a16:creationId xmlns:a16="http://schemas.microsoft.com/office/drawing/2014/main" id="{139C46C5-710D-8154-7A4A-D49A2339C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282222</xdr:colOff>
      <xdr:row>6</xdr:row>
      <xdr:rowOff>148167</xdr:rowOff>
    </xdr:from>
    <xdr:to>
      <xdr:col>4</xdr:col>
      <xdr:colOff>656167</xdr:colOff>
      <xdr:row>19</xdr:row>
      <xdr:rowOff>35279</xdr:rowOff>
    </xdr:to>
    <xdr:graphicFrame macro="">
      <xdr:nvGraphicFramePr>
        <xdr:cNvPr id="2" name="Chart 1">
          <a:extLst>
            <a:ext uri="{FF2B5EF4-FFF2-40B4-BE49-F238E27FC236}">
              <a16:creationId xmlns:a16="http://schemas.microsoft.com/office/drawing/2014/main" id="{47C0BA6F-74B6-4D5C-8C0F-3611AF63E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194027</xdr:colOff>
      <xdr:row>19</xdr:row>
      <xdr:rowOff>143229</xdr:rowOff>
    </xdr:from>
    <xdr:to>
      <xdr:col>3</xdr:col>
      <xdr:colOff>33160</xdr:colOff>
      <xdr:row>26</xdr:row>
      <xdr:rowOff>91722</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0F52E96C-43CF-401B-2D76-2A06BDA4BEA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94027" y="3500900"/>
              <a:ext cx="1822421" cy="1166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63499</xdr:colOff>
      <xdr:row>6</xdr:row>
      <xdr:rowOff>91723</xdr:rowOff>
    </xdr:from>
    <xdr:to>
      <xdr:col>9</xdr:col>
      <xdr:colOff>310443</xdr:colOff>
      <xdr:row>19</xdr:row>
      <xdr:rowOff>11642</xdr:rowOff>
    </xdr:to>
    <xdr:graphicFrame macro="">
      <xdr:nvGraphicFramePr>
        <xdr:cNvPr id="4" name="Chart 3">
          <a:extLst>
            <a:ext uri="{FF2B5EF4-FFF2-40B4-BE49-F238E27FC236}">
              <a16:creationId xmlns:a16="http://schemas.microsoft.com/office/drawing/2014/main" id="{88FFF537-0B5D-442C-AE95-D9849579A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292807</xdr:colOff>
      <xdr:row>19</xdr:row>
      <xdr:rowOff>52210</xdr:rowOff>
    </xdr:from>
    <xdr:to>
      <xdr:col>8</xdr:col>
      <xdr:colOff>131940</xdr:colOff>
      <xdr:row>26</xdr:row>
      <xdr:rowOff>14111</xdr:rowOff>
    </xdr:to>
    <mc:AlternateContent xmlns:mc="http://schemas.openxmlformats.org/markup-compatibility/2006" xmlns:a14="http://schemas.microsoft.com/office/drawing/2010/main">
      <mc:Choice Requires="a14">
        <xdr:graphicFrame macro="">
          <xdr:nvGraphicFramePr>
            <xdr:cNvPr id="5" name="Channel 1">
              <a:extLst>
                <a:ext uri="{FF2B5EF4-FFF2-40B4-BE49-F238E27FC236}">
                  <a16:creationId xmlns:a16="http://schemas.microsoft.com/office/drawing/2014/main" id="{2BF1862A-942A-DC0F-E6A2-5A9CA825B54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598286" y="3409881"/>
              <a:ext cx="1822421" cy="1179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508001</xdr:colOff>
      <xdr:row>5</xdr:row>
      <xdr:rowOff>134056</xdr:rowOff>
    </xdr:from>
    <xdr:to>
      <xdr:col>14</xdr:col>
      <xdr:colOff>620889</xdr:colOff>
      <xdr:row>18</xdr:row>
      <xdr:rowOff>63500</xdr:rowOff>
    </xdr:to>
    <xdr:graphicFrame macro="">
      <xdr:nvGraphicFramePr>
        <xdr:cNvPr id="6" name="Chart 5">
          <a:extLst>
            <a:ext uri="{FF2B5EF4-FFF2-40B4-BE49-F238E27FC236}">
              <a16:creationId xmlns:a16="http://schemas.microsoft.com/office/drawing/2014/main" id="{D72F993D-3444-473F-82E6-E4061AABD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91336</xdr:colOff>
      <xdr:row>18</xdr:row>
      <xdr:rowOff>82811</xdr:rowOff>
    </xdr:from>
    <xdr:to>
      <xdr:col>12</xdr:col>
      <xdr:colOff>597944</xdr:colOff>
      <xdr:row>29</xdr:row>
      <xdr:rowOff>78287</xdr:rowOff>
    </xdr:to>
    <mc:AlternateContent xmlns:mc="http://schemas.openxmlformats.org/markup-compatibility/2006" xmlns:a14="http://schemas.microsoft.com/office/drawing/2010/main">
      <mc:Choice Requires="a14">
        <xdr:graphicFrame macro="">
          <xdr:nvGraphicFramePr>
            <xdr:cNvPr id="8" name="Employee 1">
              <a:extLst>
                <a:ext uri="{FF2B5EF4-FFF2-40B4-BE49-F238E27FC236}">
                  <a16:creationId xmlns:a16="http://schemas.microsoft.com/office/drawing/2014/main" id="{36C264F8-3964-2CD4-929C-33B8B1EFD5C8}"/>
                </a:ext>
              </a:extLst>
            </xdr:cNvPr>
            <xdr:cNvGraphicFramePr/>
          </xdr:nvGraphicFramePr>
          <xdr:xfrm>
            <a:off x="0" y="0"/>
            <a:ext cx="0" cy="0"/>
          </xdr:xfrm>
          <a:graphic>
            <a:graphicData uri="http://schemas.microsoft.com/office/drawing/2010/slicer">
              <sle:slicer xmlns:sle="http://schemas.microsoft.com/office/drawing/2010/slicer" name="Employee 1"/>
            </a:graphicData>
          </a:graphic>
        </xdr:graphicFrame>
      </mc:Choice>
      <mc:Fallback xmlns="">
        <xdr:sp macro="" textlink="">
          <xdr:nvSpPr>
            <xdr:cNvPr id="0" name=""/>
            <xdr:cNvSpPr>
              <a:spLocks noTextEdit="1"/>
            </xdr:cNvSpPr>
          </xdr:nvSpPr>
          <xdr:spPr>
            <a:xfrm>
              <a:off x="6702295" y="3266510"/>
              <a:ext cx="1828800" cy="190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86985</xdr:colOff>
      <xdr:row>5</xdr:row>
      <xdr:rowOff>121780</xdr:rowOff>
    </xdr:from>
    <xdr:to>
      <xdr:col>22</xdr:col>
      <xdr:colOff>17396</xdr:colOff>
      <xdr:row>19</xdr:row>
      <xdr:rowOff>130480</xdr:rowOff>
    </xdr:to>
    <xdr:graphicFrame macro="">
      <xdr:nvGraphicFramePr>
        <xdr:cNvPr id="7" name="Chart 6">
          <a:extLst>
            <a:ext uri="{FF2B5EF4-FFF2-40B4-BE49-F238E27FC236}">
              <a16:creationId xmlns:a16="http://schemas.microsoft.com/office/drawing/2014/main" id="{03275D32-A909-47A3-B070-6B2FA2B5D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15875</xdr:rowOff>
    </xdr:from>
    <xdr:to>
      <xdr:col>13</xdr:col>
      <xdr:colOff>171450</xdr:colOff>
      <xdr:row>14</xdr:row>
      <xdr:rowOff>38100</xdr:rowOff>
    </xdr:to>
    <xdr:graphicFrame macro="">
      <xdr:nvGraphicFramePr>
        <xdr:cNvPr id="2" name="Chart 1">
          <a:extLst>
            <a:ext uri="{FF2B5EF4-FFF2-40B4-BE49-F238E27FC236}">
              <a16:creationId xmlns:a16="http://schemas.microsoft.com/office/drawing/2014/main" id="{1A14B911-6703-D346-8613-F3DF265E5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معاذ نور" refreshedDate="46302.700772337965" createdVersion="8" refreshedVersion="8" minRefreshableVersion="3" recordCount="90" xr:uid="{5264D4BE-C3AE-4306-863C-4399380C45AC}">
  <cacheSource type="worksheet">
    <worksheetSource name="RestaurantSales"/>
  </cacheSource>
  <cacheFields count="20">
    <cacheField name="Order_ID" numFmtId="0">
      <sharedItems/>
    </cacheField>
    <cacheField name="Date" numFmtId="0">
      <sharedItems containsSemiMixedTypes="0" containsNonDate="0" containsDate="1" containsString="0" minDate="2026-08-01T00:00:00" maxDate="2026-10-01T00:00:00"/>
    </cacheField>
    <cacheField name="Employee" numFmtId="0">
      <sharedItems containsBlank="1" count="7">
        <s v="Ali"/>
        <s v="Lina"/>
        <s v="Mooath"/>
        <s v="Noor"/>
        <s v="Omar"/>
        <s v="Sara"/>
        <m/>
      </sharedItems>
    </cacheField>
    <cacheField name="Branch" numFmtId="0">
      <sharedItems count="3">
        <s v="Amman"/>
        <s v="Zarqa"/>
        <s v="Irbid"/>
      </sharedItems>
    </cacheField>
    <cacheField name="Channel" numFmtId="0">
      <sharedItems count="3">
        <s v="Dine-in"/>
        <s v="Takeaway"/>
        <s v="Delivery"/>
      </sharedItems>
    </cacheField>
    <cacheField name="Item" numFmtId="0">
      <sharedItems count="10">
        <s v="Soft Drink"/>
        <s v="Pepperoni Pizza"/>
        <s v="Fresh Juice"/>
        <s v="Beef Burger"/>
        <s v="Chicken Burger"/>
        <s v="Greek Salad"/>
        <s v="Chicken Pasta"/>
        <s v="Caesar Salad"/>
        <s v="Alfredo Pasta"/>
        <s v="Margherita Pizza"/>
      </sharedItems>
    </cacheField>
    <cacheField name="Units" numFmtId="0">
      <sharedItems containsSemiMixedTypes="0" containsString="0" containsNumber="1" containsInteger="1" minValue="1" maxValue="6"/>
    </cacheField>
    <cacheField name="Unit_Price_JOD" numFmtId="165">
      <sharedItems containsSemiMixedTypes="0" containsString="0" containsNumber="1" minValue="1.2" maxValue="7"/>
    </cacheField>
    <cacheField name="Revenue_JOD" numFmtId="165">
      <sharedItems containsSemiMixedTypes="0" containsString="0" containsNumber="1" minValue="1.2" maxValue="42"/>
    </cacheField>
    <cacheField name="Cost_JOD" numFmtId="165">
      <sharedItems containsSemiMixedTypes="0" containsString="0" containsNumber="1" minValue="0.49" maxValue="26.91"/>
    </cacheField>
    <cacheField name="proft" numFmtId="165">
      <sharedItems containsSemiMixedTypes="0" containsString="0" containsNumber="1" minValue="0.69" maxValue="15.09"/>
    </cacheField>
    <cacheField name="Profit Margin" numFmtId="10">
      <sharedItems containsSemiMixedTypes="0" containsString="0" containsNumber="1" minValue="0.28833333333333333" maxValue="0.62333333333333341"/>
    </cacheField>
    <cacheField name="Target_Margin" numFmtId="10">
      <sharedItems containsSemiMixedTypes="0" containsString="0" containsNumber="1" minValue="0.32" maxValue="0.55000000000000004"/>
    </cacheField>
    <cacheField name="Target_Profit_JOD" numFmtId="166">
      <sharedItems containsSemiMixedTypes="0" containsString="0" containsNumber="1" minValue="0.66" maxValue="15.12"/>
    </cacheField>
    <cacheField name="Customer_Type" numFmtId="0">
      <sharedItems/>
    </cacheField>
    <cacheField name="Space_Check" numFmtId="0">
      <sharedItems/>
    </cacheField>
    <cacheField name="Case_Check" numFmtId="0">
      <sharedItems/>
    </cacheField>
    <cacheField name="Missing_Check" numFmtId="0">
      <sharedItems/>
    </cacheField>
    <cacheField name="Type_Check" numFmtId="0">
      <sharedItems/>
    </cacheField>
    <cacheField name="Exact_Duplicate_Check" numFmtId="0">
      <sharedItems/>
    </cacheField>
  </cacheFields>
  <extLst>
    <ext xmlns:x14="http://schemas.microsoft.com/office/spreadsheetml/2009/9/main" uri="{725AE2AE-9491-48be-B2B4-4EB974FC3084}">
      <x14:pivotCacheDefinition pivotCacheId="848530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O001"/>
    <d v="2026-08-03T00:00:00"/>
    <x v="0"/>
    <x v="0"/>
    <x v="0"/>
    <x v="0"/>
    <n v="1"/>
    <n v="1.2"/>
    <n v="1.2"/>
    <n v="0.49"/>
    <n v="0.71"/>
    <n v="0.59166666666666667"/>
    <n v="0.55000000000000004"/>
    <n v="0.66"/>
    <s v="New"/>
    <s v="OK"/>
    <s v="OK"/>
    <s v="OK"/>
    <s v="OK"/>
    <s v="OK"/>
  </r>
  <r>
    <s v="O002"/>
    <d v="2026-09-21T00:00:00"/>
    <x v="0"/>
    <x v="0"/>
    <x v="1"/>
    <x v="1"/>
    <n v="4"/>
    <n v="7"/>
    <n v="28"/>
    <n v="17.760000000000002"/>
    <n v="10.239999999999998"/>
    <n v="0.36571428571428566"/>
    <n v="0.36"/>
    <n v="10.08"/>
    <s v="Returning"/>
    <s v="OK"/>
    <s v="OK"/>
    <s v="OK"/>
    <s v="OK"/>
    <s v="OK"/>
  </r>
  <r>
    <s v="O003"/>
    <d v="2026-08-25T00:00:00"/>
    <x v="0"/>
    <x v="1"/>
    <x v="2"/>
    <x v="0"/>
    <n v="1"/>
    <n v="1.2"/>
    <n v="1.2"/>
    <n v="0.51"/>
    <n v="0.69"/>
    <n v="0.57499999999999996"/>
    <n v="0.55000000000000004"/>
    <n v="0.66"/>
    <s v="Returning"/>
    <s v="OK"/>
    <s v="OK"/>
    <s v="OK"/>
    <s v="OK"/>
    <s v="OK"/>
  </r>
  <r>
    <s v="O004"/>
    <d v="2026-09-01T00:00:00"/>
    <x v="0"/>
    <x v="1"/>
    <x v="0"/>
    <x v="2"/>
    <n v="1"/>
    <n v="2.5"/>
    <n v="2.5"/>
    <n v="1.2"/>
    <n v="1.3"/>
    <n v="0.52"/>
    <n v="0.48"/>
    <n v="1.2"/>
    <s v="New"/>
    <s v="OK"/>
    <s v="OK"/>
    <s v="OK"/>
    <s v="OK"/>
    <s v="OK"/>
  </r>
  <r>
    <s v="O005"/>
    <d v="2026-08-22T00:00:00"/>
    <x v="0"/>
    <x v="1"/>
    <x v="1"/>
    <x v="3"/>
    <n v="2"/>
    <n v="5.5"/>
    <n v="11"/>
    <n v="7.44"/>
    <n v="3.5599999999999996"/>
    <n v="0.32363636363636361"/>
    <n v="0.35"/>
    <n v="3.8499999999999996"/>
    <s v="New"/>
    <s v="OK"/>
    <s v="OK"/>
    <s v="OK"/>
    <s v="OK"/>
    <s v="OK"/>
  </r>
  <r>
    <s v="O006"/>
    <d v="2026-09-21T00:00:00"/>
    <x v="0"/>
    <x v="0"/>
    <x v="0"/>
    <x v="4"/>
    <n v="4"/>
    <n v="4.5"/>
    <n v="18"/>
    <n v="12.81"/>
    <n v="5.1899999999999995"/>
    <n v="0.28833333333333333"/>
    <n v="0.32"/>
    <n v="5.76"/>
    <s v="New"/>
    <s v="OK"/>
    <s v="OK"/>
    <s v="OK"/>
    <s v="OK"/>
    <s v="OK"/>
  </r>
  <r>
    <s v="O007"/>
    <d v="2026-09-29T00:00:00"/>
    <x v="0"/>
    <x v="0"/>
    <x v="2"/>
    <x v="5"/>
    <n v="3"/>
    <n v="4"/>
    <n v="12"/>
    <n v="7.22"/>
    <n v="4.78"/>
    <n v="0.39833333333333337"/>
    <n v="0.4"/>
    <n v="4.8000000000000007"/>
    <s v="New"/>
    <s v="OK"/>
    <s v="OK"/>
    <s v="OK"/>
    <s v="OK"/>
    <s v="OK"/>
  </r>
  <r>
    <s v="O008"/>
    <d v="2026-09-27T00:00:00"/>
    <x v="0"/>
    <x v="0"/>
    <x v="1"/>
    <x v="6"/>
    <n v="5"/>
    <n v="5"/>
    <n v="25"/>
    <n v="16.489999999999998"/>
    <n v="8.5100000000000016"/>
    <n v="0.34040000000000004"/>
    <n v="0.34"/>
    <n v="8.5"/>
    <s v="Returning"/>
    <s v="OK"/>
    <s v="OK"/>
    <s v="OK"/>
    <s v="OK"/>
    <s v="OK"/>
  </r>
  <r>
    <s v="O009"/>
    <d v="2026-09-05T00:00:00"/>
    <x v="0"/>
    <x v="0"/>
    <x v="0"/>
    <x v="5"/>
    <n v="5"/>
    <n v="4"/>
    <n v="20"/>
    <n v="11.81"/>
    <n v="8.19"/>
    <n v="0.40949999999999998"/>
    <n v="0.4"/>
    <n v="8"/>
    <s v="New"/>
    <s v="OK"/>
    <s v="OK"/>
    <s v="OK"/>
    <s v="OK"/>
    <s v="OK"/>
  </r>
  <r>
    <s v="O010"/>
    <d v="2026-09-29T00:00:00"/>
    <x v="0"/>
    <x v="2"/>
    <x v="2"/>
    <x v="4"/>
    <n v="3"/>
    <n v="4.5"/>
    <n v="13.5"/>
    <n v="9.36"/>
    <n v="4.1400000000000006"/>
    <n v="0.3066666666666667"/>
    <n v="0.32"/>
    <n v="4.32"/>
    <s v="New"/>
    <s v="OK"/>
    <s v="OK"/>
    <s v="OK"/>
    <s v="OK"/>
    <s v="OK"/>
  </r>
  <r>
    <s v="O011"/>
    <d v="2026-09-05T00:00:00"/>
    <x v="0"/>
    <x v="2"/>
    <x v="2"/>
    <x v="2"/>
    <n v="5"/>
    <n v="2.5"/>
    <n v="12.5"/>
    <n v="6.13"/>
    <n v="6.37"/>
    <n v="0.50960000000000005"/>
    <n v="0.48"/>
    <n v="6"/>
    <s v="New"/>
    <s v="OK"/>
    <s v="OK"/>
    <s v="OK"/>
    <s v="OK"/>
    <s v="OK"/>
  </r>
  <r>
    <s v="O012"/>
    <d v="2026-08-16T00:00:00"/>
    <x v="1"/>
    <x v="0"/>
    <x v="1"/>
    <x v="3"/>
    <n v="1"/>
    <n v="5.5"/>
    <n v="5.5"/>
    <n v="3.86"/>
    <n v="1.6400000000000001"/>
    <n v="0.29818181818181821"/>
    <n v="0.35"/>
    <n v="1.9249999999999998"/>
    <s v="New"/>
    <s v="OK"/>
    <s v="OK"/>
    <s v="OK"/>
    <s v="OK"/>
    <s v="OK"/>
  </r>
  <r>
    <s v="O013"/>
    <d v="2026-08-21T00:00:00"/>
    <x v="1"/>
    <x v="1"/>
    <x v="2"/>
    <x v="1"/>
    <n v="5"/>
    <n v="7"/>
    <n v="35"/>
    <n v="22.71"/>
    <n v="12.29"/>
    <n v="0.35114285714285715"/>
    <n v="0.36"/>
    <n v="12.6"/>
    <s v="Returning"/>
    <s v="OK"/>
    <s v="OK"/>
    <s v="OK"/>
    <s v="OK"/>
    <s v="OK"/>
  </r>
  <r>
    <s v="O014"/>
    <d v="2026-08-07T00:00:00"/>
    <x v="1"/>
    <x v="2"/>
    <x v="2"/>
    <x v="5"/>
    <n v="4"/>
    <n v="4"/>
    <n v="16"/>
    <n v="9.0299999999999994"/>
    <n v="6.9700000000000006"/>
    <n v="0.43562500000000004"/>
    <n v="0.4"/>
    <n v="6.4"/>
    <s v="Returning"/>
    <s v="OK"/>
    <s v="OK"/>
    <s v="OK"/>
    <s v="OK"/>
    <s v="OK"/>
  </r>
  <r>
    <s v="O015"/>
    <d v="2026-09-06T00:00:00"/>
    <x v="1"/>
    <x v="1"/>
    <x v="1"/>
    <x v="7"/>
    <n v="1"/>
    <n v="3.8"/>
    <n v="3.8"/>
    <n v="2.21"/>
    <n v="1.5899999999999999"/>
    <n v="0.41842105263157892"/>
    <n v="0.42"/>
    <n v="1.5959999999999999"/>
    <s v="New"/>
    <s v="OK"/>
    <s v="OK"/>
    <s v="OK"/>
    <s v="OK"/>
    <s v="OK"/>
  </r>
  <r>
    <s v="O016"/>
    <d v="2026-08-17T00:00:00"/>
    <x v="1"/>
    <x v="2"/>
    <x v="0"/>
    <x v="3"/>
    <n v="5"/>
    <n v="5.5"/>
    <n v="27.5"/>
    <n v="18.579999999999998"/>
    <n v="8.9200000000000017"/>
    <n v="0.32436363636363641"/>
    <n v="0.35"/>
    <n v="9.625"/>
    <s v="New"/>
    <s v="OK"/>
    <s v="OK"/>
    <s v="OK"/>
    <s v="OK"/>
    <s v="OK"/>
  </r>
  <r>
    <s v="O017"/>
    <d v="2026-08-07T00:00:00"/>
    <x v="1"/>
    <x v="2"/>
    <x v="0"/>
    <x v="0"/>
    <n v="3"/>
    <n v="1.2"/>
    <n v="3.6"/>
    <n v="1.52"/>
    <n v="2.08"/>
    <n v="0.57777777777777783"/>
    <n v="0.55000000000000004"/>
    <n v="1.9800000000000002"/>
    <s v="New"/>
    <s v="OK"/>
    <s v="OK"/>
    <s v="OK"/>
    <s v="OK"/>
    <s v="OK"/>
  </r>
  <r>
    <s v="O018"/>
    <d v="2026-09-08T00:00:00"/>
    <x v="1"/>
    <x v="1"/>
    <x v="2"/>
    <x v="0"/>
    <n v="2"/>
    <n v="1.2"/>
    <n v="2.4"/>
    <n v="0.93"/>
    <n v="1.4699999999999998"/>
    <n v="0.61249999999999993"/>
    <n v="0.55000000000000004"/>
    <n v="1.32"/>
    <s v="New"/>
    <s v="OK"/>
    <s v="OK"/>
    <s v="OK"/>
    <s v="OK"/>
    <s v="OK"/>
  </r>
  <r>
    <s v="O019"/>
    <d v="2026-09-19T00:00:00"/>
    <x v="1"/>
    <x v="1"/>
    <x v="2"/>
    <x v="6"/>
    <n v="1"/>
    <n v="5"/>
    <n v="5"/>
    <n v="3.18"/>
    <n v="1.8199999999999998"/>
    <n v="0.36399999999999999"/>
    <n v="0.34"/>
    <n v="1.7000000000000002"/>
    <s v="New"/>
    <s v="OK"/>
    <s v="OK"/>
    <s v="OK"/>
    <s v="OK"/>
    <s v="OK"/>
  </r>
  <r>
    <s v="O020"/>
    <d v="2026-09-21T00:00:00"/>
    <x v="1"/>
    <x v="2"/>
    <x v="0"/>
    <x v="1"/>
    <n v="2"/>
    <n v="7"/>
    <n v="14"/>
    <n v="9.15"/>
    <n v="4.8499999999999996"/>
    <n v="0.34642857142857142"/>
    <n v="0.36"/>
    <n v="5.04"/>
    <s v="New"/>
    <s v="OK"/>
    <s v="OK"/>
    <s v="OK"/>
    <s v="OK"/>
    <s v="OK"/>
  </r>
  <r>
    <s v="O021"/>
    <d v="2026-09-25T00:00:00"/>
    <x v="1"/>
    <x v="0"/>
    <x v="0"/>
    <x v="8"/>
    <n v="3"/>
    <n v="5.5"/>
    <n v="16.5"/>
    <n v="11.48"/>
    <n v="5.0199999999999996"/>
    <n v="0.3042424242424242"/>
    <n v="0.33"/>
    <n v="5.4450000000000003"/>
    <s v="New"/>
    <s v="OK"/>
    <s v="OK"/>
    <s v="OK"/>
    <s v="OK"/>
    <s v="OK"/>
  </r>
  <r>
    <s v="O022"/>
    <d v="2026-08-03T00:00:00"/>
    <x v="1"/>
    <x v="2"/>
    <x v="1"/>
    <x v="1"/>
    <n v="2"/>
    <n v="7"/>
    <n v="14"/>
    <n v="8.57"/>
    <n v="5.43"/>
    <n v="0.38785714285714284"/>
    <n v="0.36"/>
    <n v="5.04"/>
    <s v="New"/>
    <s v="OK"/>
    <s v="OK"/>
    <s v="OK"/>
    <s v="OK"/>
    <s v="OK"/>
  </r>
  <r>
    <s v="O023"/>
    <d v="2026-09-06T00:00:00"/>
    <x v="1"/>
    <x v="1"/>
    <x v="1"/>
    <x v="5"/>
    <n v="4"/>
    <n v="4"/>
    <n v="16"/>
    <n v="9.59"/>
    <n v="6.41"/>
    <n v="0.40062500000000001"/>
    <n v="0.4"/>
    <n v="6.4"/>
    <s v="Returning"/>
    <s v="OK"/>
    <s v="OK"/>
    <s v="OK"/>
    <s v="OK"/>
    <s v="OK"/>
  </r>
  <r>
    <s v="O024"/>
    <d v="2026-09-15T00:00:00"/>
    <x v="1"/>
    <x v="0"/>
    <x v="2"/>
    <x v="1"/>
    <n v="4"/>
    <n v="7"/>
    <n v="28"/>
    <n v="17.91"/>
    <n v="10.09"/>
    <n v="0.36035714285714288"/>
    <n v="0.36"/>
    <n v="10.08"/>
    <s v="Returning"/>
    <s v="OK"/>
    <s v="OK"/>
    <s v="OK"/>
    <s v="OK"/>
    <s v="OK"/>
  </r>
  <r>
    <s v="O025"/>
    <d v="2026-08-04T00:00:00"/>
    <x v="1"/>
    <x v="2"/>
    <x v="2"/>
    <x v="8"/>
    <n v="5"/>
    <n v="5.5"/>
    <n v="27.5"/>
    <n v="18.649999999999999"/>
    <n v="8.8500000000000014"/>
    <n v="0.32181818181818189"/>
    <n v="0.33"/>
    <n v="9.0750000000000011"/>
    <s v="New"/>
    <s v="OK"/>
    <s v="OK"/>
    <s v="OK"/>
    <s v="OK"/>
    <s v="OK"/>
  </r>
  <r>
    <s v="O026"/>
    <d v="2026-08-02T00:00:00"/>
    <x v="1"/>
    <x v="0"/>
    <x v="0"/>
    <x v="3"/>
    <n v="6"/>
    <n v="5.5"/>
    <n v="33"/>
    <n v="22.01"/>
    <n v="10.989999999999998"/>
    <n v="0.33303030303030301"/>
    <n v="0.35"/>
    <n v="11.549999999999999"/>
    <s v="New"/>
    <s v="OK"/>
    <s v="OK"/>
    <s v="OK"/>
    <s v="OK"/>
    <s v="OK"/>
  </r>
  <r>
    <s v="O028"/>
    <d v="2026-09-04T00:00:00"/>
    <x v="2"/>
    <x v="0"/>
    <x v="1"/>
    <x v="9"/>
    <n v="3"/>
    <n v="6"/>
    <n v="18"/>
    <n v="11.04"/>
    <n v="6.9600000000000009"/>
    <n v="0.38666666666666671"/>
    <n v="0.38"/>
    <n v="6.84"/>
    <s v="Returning"/>
    <s v="OK"/>
    <s v="OK"/>
    <s v="OK"/>
    <s v="OK"/>
    <s v="OK"/>
  </r>
  <r>
    <s v="O029"/>
    <d v="2026-09-03T00:00:00"/>
    <x v="2"/>
    <x v="2"/>
    <x v="0"/>
    <x v="5"/>
    <n v="5"/>
    <n v="4"/>
    <n v="20"/>
    <n v="11.27"/>
    <n v="8.73"/>
    <n v="0.4365"/>
    <n v="0.4"/>
    <n v="8"/>
    <s v="New"/>
    <s v="OK"/>
    <s v="OK"/>
    <s v="OK"/>
    <s v="OK"/>
    <s v="OK"/>
  </r>
  <r>
    <s v="O030"/>
    <d v="2026-09-26T00:00:00"/>
    <x v="2"/>
    <x v="1"/>
    <x v="2"/>
    <x v="0"/>
    <n v="2"/>
    <n v="1.2"/>
    <n v="2.4"/>
    <n v="0.99"/>
    <n v="1.41"/>
    <n v="0.58750000000000002"/>
    <n v="0.55000000000000004"/>
    <n v="1.32"/>
    <s v="New"/>
    <s v="OK"/>
    <s v="OK"/>
    <s v="OK"/>
    <s v="OK"/>
    <s v="OK"/>
  </r>
  <r>
    <s v="O031"/>
    <d v="2026-09-11T00:00:00"/>
    <x v="2"/>
    <x v="0"/>
    <x v="0"/>
    <x v="5"/>
    <n v="5"/>
    <n v="4"/>
    <n v="20"/>
    <n v="11.2"/>
    <n v="8.8000000000000007"/>
    <n v="0.44000000000000006"/>
    <n v="0.4"/>
    <n v="8"/>
    <s v="New"/>
    <s v="OK"/>
    <s v="OK"/>
    <s v="OK"/>
    <s v="OK"/>
    <s v="OK"/>
  </r>
  <r>
    <s v="O032"/>
    <d v="2026-08-04T00:00:00"/>
    <x v="2"/>
    <x v="1"/>
    <x v="1"/>
    <x v="9"/>
    <n v="2"/>
    <n v="6"/>
    <n v="12"/>
    <n v="7.08"/>
    <n v="4.92"/>
    <n v="0.41"/>
    <n v="0.38"/>
    <n v="4.5600000000000005"/>
    <s v="New"/>
    <s v="OK"/>
    <s v="OK"/>
    <s v="OK"/>
    <s v="OK"/>
    <s v="OK"/>
  </r>
  <r>
    <s v="O033"/>
    <d v="2026-08-31T00:00:00"/>
    <x v="2"/>
    <x v="1"/>
    <x v="0"/>
    <x v="8"/>
    <n v="1"/>
    <n v="5.5"/>
    <n v="5.5"/>
    <n v="3.62"/>
    <n v="1.88"/>
    <n v="0.3418181818181818"/>
    <n v="0.33"/>
    <n v="1.8150000000000002"/>
    <s v="New"/>
    <s v="OK"/>
    <s v="OK"/>
    <s v="OK"/>
    <s v="OK"/>
    <s v="OK"/>
  </r>
  <r>
    <s v="O034"/>
    <d v="2026-08-05T00:00:00"/>
    <x v="2"/>
    <x v="0"/>
    <x v="1"/>
    <x v="0"/>
    <n v="1"/>
    <n v="1.2"/>
    <n v="1.2"/>
    <n v="0.5"/>
    <n v="0.7"/>
    <n v="0.58333333333333337"/>
    <n v="0.55000000000000004"/>
    <n v="0.66"/>
    <s v="New"/>
    <s v="OK"/>
    <s v="OK"/>
    <s v="OK"/>
    <s v="OK"/>
    <s v="OK"/>
  </r>
  <r>
    <s v="O035"/>
    <d v="2026-09-07T00:00:00"/>
    <x v="2"/>
    <x v="1"/>
    <x v="2"/>
    <x v="2"/>
    <n v="1"/>
    <n v="2.5"/>
    <n v="2.5"/>
    <n v="1.24"/>
    <n v="1.26"/>
    <n v="0.504"/>
    <n v="0.48"/>
    <n v="1.2"/>
    <s v="Returning"/>
    <s v="OK"/>
    <s v="OK"/>
    <s v="OK"/>
    <s v="OK"/>
    <s v="OK"/>
  </r>
  <r>
    <s v="O036"/>
    <d v="2026-09-23T00:00:00"/>
    <x v="2"/>
    <x v="1"/>
    <x v="2"/>
    <x v="5"/>
    <n v="3"/>
    <n v="5.5"/>
    <n v="16.5"/>
    <n v="10.94"/>
    <n v="5.5600000000000005"/>
    <n v="0.33696969696969697"/>
    <n v="0.4"/>
    <n v="6.6000000000000005"/>
    <s v="New"/>
    <s v="OK"/>
    <s v="OK"/>
    <s v="OK"/>
    <s v="OK"/>
    <s v="OK"/>
  </r>
  <r>
    <s v="O037"/>
    <d v="2026-09-07T00:00:00"/>
    <x v="2"/>
    <x v="0"/>
    <x v="2"/>
    <x v="0"/>
    <n v="1"/>
    <n v="1.2"/>
    <n v="1.2"/>
    <n v="0.5"/>
    <n v="0.7"/>
    <n v="0.58333333333333337"/>
    <n v="0.55000000000000004"/>
    <n v="0.66"/>
    <s v="New"/>
    <s v="OK"/>
    <s v="OK"/>
    <s v="OK"/>
    <s v="OK"/>
    <s v="OK"/>
  </r>
  <r>
    <s v="O038"/>
    <d v="2026-09-14T00:00:00"/>
    <x v="2"/>
    <x v="2"/>
    <x v="0"/>
    <x v="1"/>
    <n v="2"/>
    <n v="7"/>
    <n v="14"/>
    <n v="9.0299999999999994"/>
    <n v="4.9700000000000006"/>
    <n v="0.35500000000000004"/>
    <n v="0.36"/>
    <n v="5.04"/>
    <s v="New"/>
    <s v="OK"/>
    <s v="OK"/>
    <s v="OK"/>
    <s v="OK"/>
    <s v="OK"/>
  </r>
  <r>
    <s v="O039"/>
    <d v="2026-09-27T00:00:00"/>
    <x v="2"/>
    <x v="2"/>
    <x v="1"/>
    <x v="5"/>
    <n v="5"/>
    <n v="4"/>
    <n v="20"/>
    <n v="11.92"/>
    <n v="8.08"/>
    <n v="0.40400000000000003"/>
    <n v="0.4"/>
    <n v="8"/>
    <s v="Returning"/>
    <s v="OK"/>
    <s v="OK"/>
    <s v="OK"/>
    <s v="OK"/>
    <s v="OK"/>
  </r>
  <r>
    <s v="O040"/>
    <d v="2026-09-27T00:00:00"/>
    <x v="2"/>
    <x v="0"/>
    <x v="0"/>
    <x v="1"/>
    <n v="3"/>
    <n v="7"/>
    <n v="21"/>
    <n v="13.06"/>
    <n v="7.9399999999999995"/>
    <n v="0.3780952380952381"/>
    <n v="0.36"/>
    <n v="7.56"/>
    <s v="New"/>
    <s v="OK"/>
    <s v="OK"/>
    <s v="OK"/>
    <s v="OK"/>
    <s v="OK"/>
  </r>
  <r>
    <s v="O041"/>
    <d v="2026-09-21T00:00:00"/>
    <x v="2"/>
    <x v="0"/>
    <x v="2"/>
    <x v="0"/>
    <n v="6"/>
    <n v="1.2"/>
    <n v="7.2"/>
    <n v="2.96"/>
    <n v="4.24"/>
    <n v="0.58888888888888891"/>
    <n v="0.55000000000000004"/>
    <n v="3.9600000000000004"/>
    <s v="New"/>
    <s v="OK"/>
    <s v="OK"/>
    <s v="OK"/>
    <s v="OK"/>
    <s v="OK"/>
  </r>
  <r>
    <s v="O042"/>
    <d v="2026-09-09T00:00:00"/>
    <x v="2"/>
    <x v="0"/>
    <x v="2"/>
    <x v="9"/>
    <n v="4"/>
    <n v="6"/>
    <n v="24"/>
    <n v="14.9"/>
    <n v="9.1"/>
    <n v="0.37916666666666665"/>
    <n v="0.38"/>
    <n v="9.120000000000001"/>
    <s v="New"/>
    <s v="OK"/>
    <s v="OK"/>
    <s v="OK"/>
    <s v="OK"/>
    <s v="OK"/>
  </r>
  <r>
    <s v="O043"/>
    <d v="2026-09-17T00:00:00"/>
    <x v="2"/>
    <x v="0"/>
    <x v="2"/>
    <x v="6"/>
    <n v="1"/>
    <n v="5"/>
    <n v="5"/>
    <n v="3.29"/>
    <n v="1.71"/>
    <n v="0.34199999999999997"/>
    <n v="0.34"/>
    <n v="1.7000000000000002"/>
    <s v="New"/>
    <s v="OK"/>
    <s v="OK"/>
    <s v="OK"/>
    <s v="OK"/>
    <s v="OK"/>
  </r>
  <r>
    <s v="O044"/>
    <d v="2026-08-08T00:00:00"/>
    <x v="2"/>
    <x v="0"/>
    <x v="2"/>
    <x v="1"/>
    <n v="2"/>
    <n v="7"/>
    <n v="14"/>
    <n v="8.8000000000000007"/>
    <n v="5.1999999999999993"/>
    <n v="0.37142857142857139"/>
    <n v="0.36"/>
    <n v="5.04"/>
    <s v="Returning"/>
    <s v="OK"/>
    <s v="OK"/>
    <s v="OK"/>
    <s v="OK"/>
    <s v="OK"/>
  </r>
  <r>
    <s v="O045"/>
    <d v="2026-08-20T00:00:00"/>
    <x v="2"/>
    <x v="1"/>
    <x v="2"/>
    <x v="3"/>
    <n v="5"/>
    <n v="5.5"/>
    <n v="27.5"/>
    <n v="18.32"/>
    <n v="9.18"/>
    <n v="0.33381818181818179"/>
    <n v="0.35"/>
    <n v="9.625"/>
    <s v="Returning"/>
    <s v="OK"/>
    <s v="OK"/>
    <s v="OK"/>
    <s v="OK"/>
    <s v="OK"/>
  </r>
  <r>
    <s v="O046"/>
    <d v="2026-08-13T00:00:00"/>
    <x v="3"/>
    <x v="1"/>
    <x v="1"/>
    <x v="0"/>
    <n v="5"/>
    <n v="1.2"/>
    <n v="6"/>
    <n v="2.2599999999999998"/>
    <n v="3.74"/>
    <n v="0.62333333333333341"/>
    <n v="0.55000000000000004"/>
    <n v="3.3000000000000003"/>
    <s v="Returning"/>
    <s v="OK"/>
    <s v="OK"/>
    <s v="OK"/>
    <s v="OK"/>
    <s v="OK"/>
  </r>
  <r>
    <s v="O047"/>
    <d v="2026-08-03T00:00:00"/>
    <x v="3"/>
    <x v="0"/>
    <x v="2"/>
    <x v="2"/>
    <n v="2"/>
    <n v="2.5"/>
    <n v="5"/>
    <n v="2.5499999999999998"/>
    <n v="2.4500000000000002"/>
    <n v="0.49000000000000005"/>
    <n v="0.48"/>
    <n v="2.4"/>
    <s v="New"/>
    <s v="OK"/>
    <s v="OK"/>
    <s v="OK"/>
    <s v="OK"/>
    <s v="OK"/>
  </r>
  <r>
    <s v="O048"/>
    <d v="2026-08-30T00:00:00"/>
    <x v="3"/>
    <x v="2"/>
    <x v="0"/>
    <x v="1"/>
    <n v="1"/>
    <n v="7"/>
    <n v="7"/>
    <n v="4.37"/>
    <n v="2.63"/>
    <n v="0.37571428571428572"/>
    <n v="0.36"/>
    <n v="2.52"/>
    <s v="Returning"/>
    <s v="OK"/>
    <s v="OK"/>
    <s v="OK"/>
    <s v="OK"/>
    <s v="OK"/>
  </r>
  <r>
    <s v="O049"/>
    <d v="2026-09-14T00:00:00"/>
    <x v="3"/>
    <x v="1"/>
    <x v="0"/>
    <x v="8"/>
    <n v="2"/>
    <n v="5.5"/>
    <n v="11"/>
    <n v="7.57"/>
    <n v="3.4299999999999997"/>
    <n v="0.31181818181818177"/>
    <n v="0.33"/>
    <n v="3.6300000000000003"/>
    <s v="New"/>
    <s v="OK"/>
    <s v="OK"/>
    <s v="OK"/>
    <s v="OK"/>
    <s v="OK"/>
  </r>
  <r>
    <s v="O050"/>
    <d v="2026-08-16T00:00:00"/>
    <x v="3"/>
    <x v="1"/>
    <x v="1"/>
    <x v="5"/>
    <n v="2"/>
    <n v="4"/>
    <n v="8"/>
    <n v="4.55"/>
    <n v="3.45"/>
    <n v="0.43125000000000002"/>
    <n v="0.4"/>
    <n v="3.2"/>
    <s v="Returning"/>
    <s v="OK"/>
    <s v="OK"/>
    <s v="OK"/>
    <s v="OK"/>
    <s v="OK"/>
  </r>
  <r>
    <s v="O051"/>
    <d v="2026-08-10T00:00:00"/>
    <x v="3"/>
    <x v="0"/>
    <x v="1"/>
    <x v="3"/>
    <n v="1"/>
    <n v="5.5"/>
    <n v="5.5"/>
    <n v="3.89"/>
    <n v="1.6099999999999999"/>
    <n v="0.29272727272727272"/>
    <n v="0.35"/>
    <n v="1.9249999999999998"/>
    <s v="Returning"/>
    <s v="OK"/>
    <s v="OK"/>
    <s v="OK"/>
    <s v="OK"/>
    <s v="OK"/>
  </r>
  <r>
    <s v="O052"/>
    <d v="2026-08-20T00:00:00"/>
    <x v="3"/>
    <x v="1"/>
    <x v="1"/>
    <x v="0"/>
    <n v="1"/>
    <n v="1.2"/>
    <n v="1.2"/>
    <n v="0.5"/>
    <n v="0.7"/>
    <n v="0.58333333333333337"/>
    <n v="0.55000000000000004"/>
    <n v="0.66"/>
    <s v="New"/>
    <s v="OK"/>
    <s v="OK"/>
    <s v="OK"/>
    <s v="OK"/>
    <s v="OK"/>
  </r>
  <r>
    <s v="O053"/>
    <d v="2026-09-15T00:00:00"/>
    <x v="3"/>
    <x v="0"/>
    <x v="0"/>
    <x v="2"/>
    <n v="2"/>
    <n v="2.5"/>
    <n v="5"/>
    <n v="2.38"/>
    <n v="2.62"/>
    <n v="0.52400000000000002"/>
    <n v="0.48"/>
    <n v="2.4"/>
    <s v="New"/>
    <s v="OK"/>
    <s v="OK"/>
    <s v="OK"/>
    <s v="OK"/>
    <s v="OK"/>
  </r>
  <r>
    <s v="O054"/>
    <d v="2026-08-04T00:00:00"/>
    <x v="3"/>
    <x v="1"/>
    <x v="1"/>
    <x v="7"/>
    <n v="4"/>
    <n v="3.8"/>
    <n v="15.2"/>
    <n v="8.7899999999999991"/>
    <n v="6.41"/>
    <n v="0.42171052631578948"/>
    <n v="0.42"/>
    <n v="6.3839999999999995"/>
    <s v="New"/>
    <s v="OK"/>
    <s v="OK"/>
    <s v="OK"/>
    <s v="OK"/>
    <s v="OK"/>
  </r>
  <r>
    <s v="O055"/>
    <d v="2026-09-25T00:00:00"/>
    <x v="3"/>
    <x v="0"/>
    <x v="2"/>
    <x v="8"/>
    <n v="4"/>
    <n v="5.5"/>
    <n v="22"/>
    <n v="15.29"/>
    <n v="6.7100000000000009"/>
    <n v="0.30500000000000005"/>
    <n v="0.33"/>
    <n v="7.2600000000000007"/>
    <s v="New"/>
    <s v="OK"/>
    <s v="OK"/>
    <s v="OK"/>
    <s v="OK"/>
    <s v="OK"/>
  </r>
  <r>
    <s v="O056"/>
    <d v="2026-08-23T00:00:00"/>
    <x v="3"/>
    <x v="2"/>
    <x v="2"/>
    <x v="4"/>
    <n v="1"/>
    <n v="4.5"/>
    <n v="4.5"/>
    <n v="3.17"/>
    <n v="1.33"/>
    <n v="0.29555555555555557"/>
    <n v="0.32"/>
    <n v="1.44"/>
    <s v="New"/>
    <s v="OK"/>
    <s v="OK"/>
    <s v="OK"/>
    <s v="OK"/>
    <s v="OK"/>
  </r>
  <r>
    <s v="O057"/>
    <d v="2026-08-03T00:00:00"/>
    <x v="3"/>
    <x v="2"/>
    <x v="0"/>
    <x v="7"/>
    <n v="5"/>
    <n v="3.8"/>
    <n v="19"/>
    <n v="10.35"/>
    <n v="8.65"/>
    <n v="0.45526315789473687"/>
    <n v="0.42"/>
    <n v="7.9799999999999995"/>
    <s v="New"/>
    <s v="OK"/>
    <s v="OK"/>
    <s v="OK"/>
    <s v="OK"/>
    <s v="OK"/>
  </r>
  <r>
    <s v="O058"/>
    <d v="2026-09-20T00:00:00"/>
    <x v="3"/>
    <x v="0"/>
    <x v="1"/>
    <x v="0"/>
    <n v="4"/>
    <n v="1.2"/>
    <n v="4.8"/>
    <n v="1.99"/>
    <n v="2.8099999999999996"/>
    <n v="0.58541666666666659"/>
    <n v="0.55000000000000004"/>
    <n v="2.64"/>
    <s v="New"/>
    <s v="OK"/>
    <s v="OK"/>
    <s v="OK"/>
    <s v="OK"/>
    <s v="OK"/>
  </r>
  <r>
    <s v="O059"/>
    <d v="2026-09-11T00:00:00"/>
    <x v="3"/>
    <x v="0"/>
    <x v="0"/>
    <x v="5"/>
    <n v="4"/>
    <n v="4"/>
    <n v="16"/>
    <n v="9.08"/>
    <n v="6.92"/>
    <n v="0.4325"/>
    <n v="0.4"/>
    <n v="6.4"/>
    <s v="Returning"/>
    <s v="OK"/>
    <s v="OK"/>
    <s v="OK"/>
    <s v="OK"/>
    <s v="OK"/>
  </r>
  <r>
    <s v="O060"/>
    <d v="2026-08-30T00:00:00"/>
    <x v="3"/>
    <x v="1"/>
    <x v="1"/>
    <x v="3"/>
    <n v="4"/>
    <n v="5.5"/>
    <n v="22"/>
    <n v="14.78"/>
    <n v="7.2200000000000006"/>
    <n v="0.32818181818181819"/>
    <n v="0.35"/>
    <n v="7.6999999999999993"/>
    <s v="Returning"/>
    <s v="OK"/>
    <s v="OK"/>
    <s v="OK"/>
    <s v="OK"/>
    <s v="OK"/>
  </r>
  <r>
    <s v="O061"/>
    <d v="2026-09-17T00:00:00"/>
    <x v="3"/>
    <x v="0"/>
    <x v="0"/>
    <x v="8"/>
    <n v="2"/>
    <n v="5.5"/>
    <n v="11"/>
    <n v="7.54"/>
    <n v="3.46"/>
    <n v="0.31454545454545452"/>
    <n v="0.33"/>
    <n v="3.6300000000000003"/>
    <s v="Returning"/>
    <s v="OK"/>
    <s v="OK"/>
    <s v="OK"/>
    <s v="OK"/>
    <s v="OK"/>
  </r>
  <r>
    <s v="O062"/>
    <d v="2026-09-18T00:00:00"/>
    <x v="4"/>
    <x v="0"/>
    <x v="0"/>
    <x v="8"/>
    <n v="3"/>
    <n v="5.5"/>
    <n v="16.5"/>
    <n v="10.94"/>
    <n v="5.5600000000000005"/>
    <n v="0.33696969696969697"/>
    <n v="0.33"/>
    <n v="5.4450000000000003"/>
    <s v="Returning"/>
    <s v="OK"/>
    <s v="OK"/>
    <s v="OK"/>
    <s v="OK"/>
    <s v="OK"/>
  </r>
  <r>
    <s v="O063"/>
    <d v="2026-09-08T00:00:00"/>
    <x v="4"/>
    <x v="0"/>
    <x v="1"/>
    <x v="3"/>
    <n v="3"/>
    <n v="5.5"/>
    <n v="16.5"/>
    <n v="11.67"/>
    <n v="4.83"/>
    <n v="0.29272727272727272"/>
    <n v="0.35"/>
    <n v="5.7749999999999995"/>
    <s v="Returning"/>
    <s v="OK"/>
    <s v="OK"/>
    <s v="OK"/>
    <s v="OK"/>
    <s v="OK"/>
  </r>
  <r>
    <s v="O064"/>
    <d v="2026-08-03T00:00:00"/>
    <x v="4"/>
    <x v="2"/>
    <x v="2"/>
    <x v="8"/>
    <n v="1"/>
    <n v="5.5"/>
    <n v="5.5"/>
    <n v="3.67"/>
    <n v="1.83"/>
    <n v="0.33272727272727276"/>
    <n v="0.33"/>
    <n v="1.8150000000000002"/>
    <s v="New"/>
    <s v="OK"/>
    <s v="OK"/>
    <s v="OK"/>
    <s v="OK"/>
    <s v="OK"/>
  </r>
  <r>
    <s v="O065"/>
    <d v="2026-08-26T00:00:00"/>
    <x v="4"/>
    <x v="0"/>
    <x v="0"/>
    <x v="2"/>
    <n v="4"/>
    <n v="2.5"/>
    <n v="10"/>
    <n v="5.2"/>
    <n v="4.8"/>
    <n v="0.48"/>
    <n v="0.48"/>
    <n v="4.8"/>
    <s v="Returning"/>
    <s v="OK"/>
    <s v="OK"/>
    <s v="OK"/>
    <s v="OK"/>
    <s v="OK"/>
  </r>
  <r>
    <s v="O066"/>
    <d v="2026-09-18T00:00:00"/>
    <x v="4"/>
    <x v="1"/>
    <x v="2"/>
    <x v="3"/>
    <n v="6"/>
    <n v="5.5"/>
    <n v="33"/>
    <n v="23.4"/>
    <n v="9.6000000000000014"/>
    <n v="0.29090909090909095"/>
    <n v="0.35"/>
    <n v="11.549999999999999"/>
    <s v="New"/>
    <s v="OK"/>
    <s v="OK"/>
    <s v="OK"/>
    <s v="OK"/>
    <s v="OK"/>
  </r>
  <r>
    <s v="O067"/>
    <d v="2026-08-24T00:00:00"/>
    <x v="4"/>
    <x v="0"/>
    <x v="0"/>
    <x v="5"/>
    <n v="1"/>
    <n v="4"/>
    <n v="4"/>
    <n v="2.2400000000000002"/>
    <n v="1.7599999999999998"/>
    <n v="0.43999999999999995"/>
    <n v="0.4"/>
    <n v="1.6"/>
    <s v="New"/>
    <s v="OK"/>
    <s v="OK"/>
    <s v="OK"/>
    <s v="OK"/>
    <s v="OK"/>
  </r>
  <r>
    <s v="O068"/>
    <d v="2026-09-11T00:00:00"/>
    <x v="4"/>
    <x v="0"/>
    <x v="1"/>
    <x v="6"/>
    <n v="4"/>
    <n v="5"/>
    <n v="20"/>
    <n v="13.7"/>
    <n v="6.3000000000000007"/>
    <n v="0.31500000000000006"/>
    <n v="0.34"/>
    <n v="6.8000000000000007"/>
    <s v="Returning"/>
    <s v="OK"/>
    <s v="OK"/>
    <s v="OK"/>
    <s v="OK"/>
    <s v="OK"/>
  </r>
  <r>
    <s v="O069"/>
    <d v="2026-08-16T00:00:00"/>
    <x v="4"/>
    <x v="1"/>
    <x v="2"/>
    <x v="4"/>
    <n v="3"/>
    <n v="4.5"/>
    <n v="13.5"/>
    <n v="9.16"/>
    <n v="4.34"/>
    <n v="0.32148148148148148"/>
    <n v="0.32"/>
    <n v="4.32"/>
    <s v="New"/>
    <s v="OK"/>
    <s v="OK"/>
    <s v="OK"/>
    <s v="OK"/>
    <s v="OK"/>
  </r>
  <r>
    <s v="O070"/>
    <d v="2026-08-12T00:00:00"/>
    <x v="4"/>
    <x v="2"/>
    <x v="0"/>
    <x v="0"/>
    <n v="4"/>
    <n v="1.2"/>
    <n v="4.8"/>
    <n v="1.83"/>
    <n v="2.9699999999999998"/>
    <n v="0.61875000000000002"/>
    <n v="0.55000000000000004"/>
    <n v="2.64"/>
    <s v="New"/>
    <s v="OK"/>
    <s v="OK"/>
    <s v="OK"/>
    <s v="OK"/>
    <s v="OK"/>
  </r>
  <r>
    <s v="O071"/>
    <d v="2026-08-16T00:00:00"/>
    <x v="4"/>
    <x v="2"/>
    <x v="0"/>
    <x v="1"/>
    <n v="6"/>
    <n v="7"/>
    <n v="42"/>
    <n v="26.91"/>
    <n v="15.09"/>
    <n v="0.35928571428571426"/>
    <n v="0.36"/>
    <n v="15.12"/>
    <s v="Returning"/>
    <s v="OK"/>
    <s v="OK"/>
    <s v="OK"/>
    <s v="OK"/>
    <s v="OK"/>
  </r>
  <r>
    <s v="O072"/>
    <d v="2026-08-05T00:00:00"/>
    <x v="4"/>
    <x v="2"/>
    <x v="1"/>
    <x v="7"/>
    <n v="3"/>
    <n v="3.8"/>
    <n v="11.4"/>
    <n v="6.26"/>
    <n v="5.1400000000000006"/>
    <n v="0.45087719298245615"/>
    <n v="0.42"/>
    <n v="4.7880000000000003"/>
    <s v="Returning"/>
    <s v="OK"/>
    <s v="OK"/>
    <s v="OK"/>
    <s v="OK"/>
    <s v="OK"/>
  </r>
  <r>
    <s v="O073"/>
    <d v="2026-08-08T00:00:00"/>
    <x v="4"/>
    <x v="0"/>
    <x v="1"/>
    <x v="0"/>
    <n v="3"/>
    <n v="1.2"/>
    <n v="3.6"/>
    <n v="1.52"/>
    <n v="2.08"/>
    <n v="0.57777777777777783"/>
    <n v="0.55000000000000004"/>
    <n v="1.9800000000000002"/>
    <s v="Returning"/>
    <s v="OK"/>
    <s v="OK"/>
    <s v="OK"/>
    <s v="OK"/>
    <s v="OK"/>
  </r>
  <r>
    <s v="O074"/>
    <d v="2026-09-12T00:00:00"/>
    <x v="4"/>
    <x v="1"/>
    <x v="2"/>
    <x v="8"/>
    <n v="4"/>
    <n v="5.5"/>
    <n v="22"/>
    <n v="14.49"/>
    <n v="7.51"/>
    <n v="0.34136363636363637"/>
    <n v="0.33"/>
    <n v="7.2600000000000007"/>
    <s v="New"/>
    <s v="OK"/>
    <s v="OK"/>
    <s v="OK"/>
    <s v="OK"/>
    <s v="OK"/>
  </r>
  <r>
    <s v="O075"/>
    <d v="2026-08-27T00:00:00"/>
    <x v="4"/>
    <x v="2"/>
    <x v="1"/>
    <x v="6"/>
    <n v="5"/>
    <n v="5"/>
    <n v="25"/>
    <n v="16.260000000000002"/>
    <n v="8.7399999999999984"/>
    <n v="0.34959999999999991"/>
    <n v="0.34"/>
    <n v="8.5"/>
    <s v="Returning"/>
    <s v="OK"/>
    <s v="OK"/>
    <s v="OK"/>
    <s v="OK"/>
    <s v="OK"/>
  </r>
  <r>
    <s v="O076"/>
    <d v="2026-09-09T00:00:00"/>
    <x v="4"/>
    <x v="0"/>
    <x v="0"/>
    <x v="6"/>
    <n v="5"/>
    <n v="5"/>
    <n v="25"/>
    <n v="16.7"/>
    <n v="8.3000000000000007"/>
    <n v="0.33200000000000002"/>
    <n v="0.34"/>
    <n v="8.5"/>
    <s v="Returning"/>
    <s v="OK"/>
    <s v="OK"/>
    <s v="OK"/>
    <s v="OK"/>
    <s v="OK"/>
  </r>
  <r>
    <s v="O077"/>
    <d v="2026-08-29T00:00:00"/>
    <x v="4"/>
    <x v="0"/>
    <x v="1"/>
    <x v="9"/>
    <n v="6"/>
    <n v="6"/>
    <n v="36"/>
    <n v="22.25"/>
    <n v="13.75"/>
    <n v="0.38194444444444442"/>
    <n v="0.38"/>
    <n v="13.68"/>
    <s v="Returning"/>
    <s v="OK"/>
    <s v="OK"/>
    <s v="OK"/>
    <s v="OK"/>
    <s v="OK"/>
  </r>
  <r>
    <s v="O078"/>
    <d v="2026-09-30T00:00:00"/>
    <x v="4"/>
    <x v="2"/>
    <x v="2"/>
    <x v="2"/>
    <n v="4"/>
    <n v="2.5"/>
    <n v="10"/>
    <n v="4.99"/>
    <n v="5.01"/>
    <n v="0.501"/>
    <n v="0.48"/>
    <n v="4.8"/>
    <s v="Returning"/>
    <s v="OK"/>
    <s v="OK"/>
    <s v="OK"/>
    <s v="OK"/>
    <s v="OK"/>
  </r>
  <r>
    <s v="O079"/>
    <d v="2026-08-25T00:00:00"/>
    <x v="4"/>
    <x v="1"/>
    <x v="1"/>
    <x v="6"/>
    <n v="4"/>
    <n v="5"/>
    <n v="20"/>
    <n v="13.19"/>
    <n v="6.8100000000000005"/>
    <n v="0.34050000000000002"/>
    <n v="0.34"/>
    <n v="6.8000000000000007"/>
    <s v="Returning"/>
    <s v="OK"/>
    <s v="OK"/>
    <s v="OK"/>
    <s v="OK"/>
    <s v="OK"/>
  </r>
  <r>
    <s v="O080"/>
    <d v="2026-08-21T00:00:00"/>
    <x v="4"/>
    <x v="2"/>
    <x v="2"/>
    <x v="7"/>
    <n v="3"/>
    <n v="3.8"/>
    <n v="11.4"/>
    <n v="6.22"/>
    <n v="5.1800000000000006"/>
    <n v="0.45438596491228073"/>
    <n v="0.42"/>
    <n v="4.7880000000000003"/>
    <s v="Returning"/>
    <s v="OK"/>
    <s v="OK"/>
    <s v="OK"/>
    <s v="OK"/>
    <s v="OK"/>
  </r>
  <r>
    <s v="O081"/>
    <d v="2026-08-30T00:00:00"/>
    <x v="5"/>
    <x v="2"/>
    <x v="1"/>
    <x v="0"/>
    <n v="6"/>
    <n v="1.2"/>
    <n v="7.2"/>
    <n v="2.79"/>
    <n v="4.41"/>
    <n v="0.61250000000000004"/>
    <n v="0.55000000000000004"/>
    <n v="3.9600000000000004"/>
    <s v="New"/>
    <s v="OK"/>
    <s v="OK"/>
    <s v="OK"/>
    <s v="OK"/>
    <s v="OK"/>
  </r>
  <r>
    <s v="O082"/>
    <d v="2026-09-08T00:00:00"/>
    <x v="5"/>
    <x v="1"/>
    <x v="2"/>
    <x v="2"/>
    <n v="1"/>
    <n v="2.5"/>
    <n v="2.5"/>
    <n v="1.24"/>
    <n v="1.26"/>
    <n v="0.504"/>
    <n v="0.48"/>
    <n v="1.2"/>
    <s v="New"/>
    <s v="OK"/>
    <s v="OK"/>
    <s v="OK"/>
    <s v="OK"/>
    <s v="OK"/>
  </r>
  <r>
    <s v="O083"/>
    <d v="2026-08-14T00:00:00"/>
    <x v="5"/>
    <x v="0"/>
    <x v="0"/>
    <x v="9"/>
    <n v="4"/>
    <n v="6"/>
    <n v="24"/>
    <n v="14.38"/>
    <n v="9.6199999999999992"/>
    <n v="0.40083333333333332"/>
    <n v="0.38"/>
    <n v="9.120000000000001"/>
    <s v="Returning"/>
    <s v="OK"/>
    <s v="OK"/>
    <s v="OK"/>
    <s v="OK"/>
    <s v="OK"/>
  </r>
  <r>
    <s v="O084"/>
    <d v="2026-09-20T00:00:00"/>
    <x v="5"/>
    <x v="2"/>
    <x v="2"/>
    <x v="4"/>
    <n v="4"/>
    <n v="4.5"/>
    <n v="18"/>
    <n v="12.39"/>
    <n v="5.6099999999999994"/>
    <n v="0.31166666666666665"/>
    <n v="0.32"/>
    <n v="5.76"/>
    <s v="Returning"/>
    <s v="OK"/>
    <s v="OK"/>
    <s v="OK"/>
    <s v="OK"/>
    <s v="OK"/>
  </r>
  <r>
    <s v="O085"/>
    <d v="2026-09-26T00:00:00"/>
    <x v="5"/>
    <x v="1"/>
    <x v="1"/>
    <x v="3"/>
    <n v="3"/>
    <n v="5.5"/>
    <n v="16.5"/>
    <n v="11.62"/>
    <n v="4.8800000000000008"/>
    <n v="0.29575757575757583"/>
    <n v="0.35"/>
    <n v="5.7749999999999995"/>
    <s v="New"/>
    <s v="OK"/>
    <s v="OK"/>
    <s v="OK"/>
    <s v="OK"/>
    <s v="OK"/>
  </r>
  <r>
    <s v="O086"/>
    <d v="2026-09-24T00:00:00"/>
    <x v="5"/>
    <x v="0"/>
    <x v="0"/>
    <x v="3"/>
    <n v="4"/>
    <n v="5.5"/>
    <n v="22"/>
    <n v="15.59"/>
    <n v="6.41"/>
    <n v="0.29136363636363638"/>
    <n v="0.35"/>
    <n v="7.6999999999999993"/>
    <s v="Returning"/>
    <s v="OK"/>
    <s v="OK"/>
    <s v="OK"/>
    <s v="OK"/>
    <s v="OK"/>
  </r>
  <r>
    <s v="O087"/>
    <d v="2026-09-12T00:00:00"/>
    <x v="5"/>
    <x v="1"/>
    <x v="1"/>
    <x v="0"/>
    <n v="2"/>
    <n v="1.2"/>
    <n v="2.4"/>
    <n v="0.92"/>
    <n v="1.48"/>
    <n v="0.6166666666666667"/>
    <n v="0.55000000000000004"/>
    <n v="1.32"/>
    <s v="Returning"/>
    <s v="OK"/>
    <s v="OK"/>
    <s v="OK"/>
    <s v="OK"/>
    <s v="OK"/>
  </r>
  <r>
    <s v="O088"/>
    <d v="2026-08-21T00:00:00"/>
    <x v="5"/>
    <x v="2"/>
    <x v="2"/>
    <x v="7"/>
    <n v="5"/>
    <n v="3.8"/>
    <n v="19"/>
    <n v="10.74"/>
    <n v="8.26"/>
    <n v="0.43473684210526314"/>
    <n v="0.42"/>
    <n v="7.9799999999999995"/>
    <s v="New"/>
    <s v="OK"/>
    <s v="OK"/>
    <s v="OK"/>
    <s v="OK"/>
    <s v="OK"/>
  </r>
  <r>
    <s v="O089"/>
    <d v="2026-08-18T00:00:00"/>
    <x v="5"/>
    <x v="0"/>
    <x v="1"/>
    <x v="0"/>
    <n v="4"/>
    <n v="1.2"/>
    <n v="4.8"/>
    <n v="1.95"/>
    <n v="2.8499999999999996"/>
    <n v="0.59375"/>
    <n v="0.55000000000000004"/>
    <n v="2.64"/>
    <s v="Returning"/>
    <s v="OK"/>
    <s v="OK"/>
    <s v="OK"/>
    <s v="OK"/>
    <s v="OK"/>
  </r>
  <r>
    <s v="O090"/>
    <d v="2026-09-25T00:00:00"/>
    <x v="5"/>
    <x v="0"/>
    <x v="0"/>
    <x v="3"/>
    <n v="6"/>
    <n v="5.5"/>
    <n v="33"/>
    <n v="22.65"/>
    <n v="10.350000000000001"/>
    <n v="0.31363636363636366"/>
    <n v="0.35"/>
    <n v="11.549999999999999"/>
    <s v="Returning"/>
    <s v="OK"/>
    <s v="OK"/>
    <s v="OK"/>
    <s v="OK"/>
    <s v="OK"/>
  </r>
  <r>
    <s v="O091"/>
    <d v="2026-08-01T00:00:00"/>
    <x v="6"/>
    <x v="1"/>
    <x v="2"/>
    <x v="6"/>
    <n v="4"/>
    <n v="5"/>
    <n v="20"/>
    <n v="12.86"/>
    <n v="7.1400000000000006"/>
    <n v="0.35700000000000004"/>
    <n v="0.34"/>
    <n v="6.8000000000000007"/>
    <s v="New"/>
    <s v="OK"/>
    <s v="OK"/>
    <s v="CHECK"/>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4BA39C-8846-4BB6-95C5-ECBAE15E991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20">
    <pivotField showAll="0"/>
    <pivotField showAll="0"/>
    <pivotField showAll="0">
      <items count="8">
        <item x="0"/>
        <item x="1"/>
        <item x="2"/>
        <item x="3"/>
        <item x="4"/>
        <item x="5"/>
        <item x="6"/>
        <item t="default"/>
      </items>
    </pivotField>
    <pivotField axis="axisRow" showAll="0" sortType="descending">
      <items count="4">
        <item x="0"/>
        <item x="2"/>
        <item x="1"/>
        <item t="default"/>
      </items>
      <autoSortScope>
        <pivotArea dataOnly="0" outline="0" fieldPosition="0">
          <references count="1">
            <reference field="4294967294" count="1" selected="0">
              <x v="1"/>
            </reference>
          </references>
        </pivotArea>
      </autoSortScope>
    </pivotField>
    <pivotField showAll="0">
      <items count="4">
        <item x="2"/>
        <item x="0"/>
        <item x="1"/>
        <item t="default"/>
      </items>
    </pivotField>
    <pivotField showAll="0"/>
    <pivotField showAll="0"/>
    <pivotField numFmtId="165" showAll="0"/>
    <pivotField dataField="1" numFmtId="165" showAll="0"/>
    <pivotField numFmtId="165" showAll="0"/>
    <pivotField dataField="1" numFmtId="2" showAll="0"/>
    <pivotField numFmtId="10" showAll="0"/>
    <pivotField numFmtId="10" showAll="0"/>
    <pivotField numFmtId="166"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 Revenue" fld="8" baseField="0" baseItem="0" numFmtId="165"/>
    <dataField name=" proft" fld="10" baseField="0" baseItem="0" numFmtId="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1DD239-1161-41D5-9702-62A4B6A6F5F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20">
    <pivotField showAll="0"/>
    <pivotField showAll="0"/>
    <pivotField showAll="0">
      <items count="8">
        <item x="0"/>
        <item x="1"/>
        <item x="2"/>
        <item x="3"/>
        <item x="4"/>
        <item x="5"/>
        <item x="6"/>
        <item t="default"/>
      </items>
    </pivotField>
    <pivotField showAll="0">
      <items count="4">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dataField="1" numFmtId="165" showAll="0"/>
    <pivotField numFmtId="165" showAll="0"/>
    <pivotField dataField="1" numFmtId="2" showAll="0"/>
    <pivotField numFmtId="10" showAll="0"/>
    <pivotField numFmtId="10" showAll="0"/>
    <pivotField numFmtId="166" showAll="0"/>
    <pivotField showAll="0"/>
    <pivotField showAll="0"/>
    <pivotField showAll="0"/>
    <pivotField showAll="0"/>
    <pivotField showAll="0"/>
    <pivotField showAll="0"/>
  </pivotFields>
  <rowFields count="1">
    <field x="4"/>
  </rowFields>
  <rowItems count="4">
    <i>
      <x v="1"/>
    </i>
    <i>
      <x/>
    </i>
    <i>
      <x v="2"/>
    </i>
    <i t="grand">
      <x/>
    </i>
  </rowItems>
  <colFields count="1">
    <field x="-2"/>
  </colFields>
  <colItems count="2">
    <i>
      <x/>
    </i>
    <i i="1">
      <x v="1"/>
    </i>
  </colItems>
  <dataFields count="2">
    <dataField name=" proft" fld="10" baseField="0" baseItem="0" numFmtId="2"/>
    <dataField name=" Revenue" fld="8" baseField="0" baseItem="0" numFmtId="165"/>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4" count="1" selected="0">
            <x v="2"/>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4A7F8-FDBC-4795-9C70-BE340812C65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20">
    <pivotField showAll="0"/>
    <pivotField showAll="0"/>
    <pivotField axis="axisRow" showAll="0">
      <items count="8">
        <item x="0"/>
        <item x="1"/>
        <item x="2"/>
        <item x="3"/>
        <item x="4"/>
        <item x="5"/>
        <item x="6"/>
        <item t="default"/>
      </items>
    </pivotField>
    <pivotField showAll="0">
      <items count="4">
        <item x="0"/>
        <item x="2"/>
        <item x="1"/>
        <item t="default"/>
      </items>
    </pivotField>
    <pivotField showAll="0">
      <items count="4">
        <item x="2"/>
        <item x="0"/>
        <item x="1"/>
        <item t="default"/>
      </items>
    </pivotField>
    <pivotField showAll="0"/>
    <pivotField showAll="0"/>
    <pivotField numFmtId="165" showAll="0"/>
    <pivotField dataField="1" numFmtId="165" showAll="0"/>
    <pivotField numFmtId="165" showAll="0"/>
    <pivotField dataField="1" numFmtId="165" showAll="0"/>
    <pivotField numFmtId="10" showAll="0"/>
    <pivotField numFmtId="10" showAll="0"/>
    <pivotField numFmtId="166" showAll="0"/>
    <pivotField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 Revenue" fld="8" baseField="0" baseItem="0" numFmtId="165"/>
    <dataField name=" proft" fld="10" baseField="0" baseItem="0" numFmtId="165"/>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475C20-F484-47C4-84ED-8A8FADC8FE3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4" firstHeaderRow="0" firstDataRow="1" firstDataCol="1"/>
  <pivotFields count="2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4">
        <item x="2"/>
        <item x="0"/>
        <item x="1"/>
        <item t="default"/>
      </items>
    </pivotField>
    <pivotField axis="axisRow" showAll="0" sortType="descending">
      <items count="11">
        <item x="8"/>
        <item x="3"/>
        <item x="7"/>
        <item x="4"/>
        <item x="6"/>
        <item x="2"/>
        <item x="5"/>
        <item x="9"/>
        <item x="1"/>
        <item x="0"/>
        <item t="default"/>
      </items>
      <autoSortScope>
        <pivotArea dataOnly="0" outline="0" fieldPosition="0">
          <references count="1">
            <reference field="4294967294" count="1" selected="0">
              <x v="1"/>
            </reference>
          </references>
        </pivotArea>
      </autoSortScope>
    </pivotField>
    <pivotField showAll="0"/>
    <pivotField numFmtId="165" showAll="0"/>
    <pivotField dataField="1" numFmtId="165" showAll="0"/>
    <pivotField numFmtId="165" showAll="0"/>
    <pivotField dataField="1" numFmtId="165" showAll="0"/>
    <pivotField numFmtId="10" showAll="0"/>
    <pivotField numFmtId="10" showAll="0"/>
    <pivotField dataField="1" numFmtId="166" showAll="0"/>
    <pivotField showAll="0"/>
    <pivotField showAll="0"/>
    <pivotField showAll="0"/>
    <pivotField showAll="0"/>
    <pivotField showAll="0"/>
    <pivotField showAll="0"/>
  </pivotFields>
  <rowFields count="1">
    <field x="5"/>
  </rowFields>
  <rowItems count="11">
    <i>
      <x v="1"/>
    </i>
    <i>
      <x v="8"/>
    </i>
    <i>
      <x v="6"/>
    </i>
    <i>
      <x v="4"/>
    </i>
    <i>
      <x/>
    </i>
    <i>
      <x v="7"/>
    </i>
    <i>
      <x v="2"/>
    </i>
    <i>
      <x v="9"/>
    </i>
    <i>
      <x v="5"/>
    </i>
    <i>
      <x v="3"/>
    </i>
    <i t="grand">
      <x/>
    </i>
  </rowItems>
  <colFields count="1">
    <field x="-2"/>
  </colFields>
  <colItems count="3">
    <i>
      <x/>
    </i>
    <i i="1">
      <x v="1"/>
    </i>
    <i i="2">
      <x v="2"/>
    </i>
  </colItems>
  <dataFields count="3">
    <dataField name="Sum of Revenue_JOD" fld="8" baseField="0" baseItem="0" numFmtId="165"/>
    <dataField name="Sum of Target_Profit_JOD" fld="13" baseField="0" baseItem="0" numFmtId="166"/>
    <dataField name="Sum of proft" fld="10" baseField="0" baseItem="0" numFmtId="165"/>
  </dataFields>
  <formats count="6">
    <format dxfId="141">
      <pivotArea type="all" dataOnly="0" outline="0" fieldPosition="0"/>
    </format>
    <format dxfId="140">
      <pivotArea outline="0" collapsedLevelsAreSubtotals="1" fieldPosition="0"/>
    </format>
    <format dxfId="139">
      <pivotArea field="5" type="button" dataOnly="0" labelOnly="1" outline="0" axis="axisRow" fieldPosition="0"/>
    </format>
    <format dxfId="138">
      <pivotArea dataOnly="0" labelOnly="1" fieldPosition="0">
        <references count="1">
          <reference field="5" count="0"/>
        </references>
      </pivotArea>
    </format>
    <format dxfId="137">
      <pivotArea dataOnly="0" labelOnly="1" grandRow="1" outline="0" fieldPosition="0"/>
    </format>
    <format dxfId="13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D06874-2627-4BC9-9CBF-B915D5BF421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0">
    <pivotField dataField="1" showAll="0"/>
    <pivotField showAll="0"/>
    <pivotField showAll="0">
      <items count="8">
        <item x="0"/>
        <item x="1"/>
        <item x="2"/>
        <item x="3"/>
        <item x="4"/>
        <item x="5"/>
        <item x="6"/>
        <item t="default"/>
      </items>
    </pivotField>
    <pivotField showAll="0">
      <items count="4">
        <item x="0"/>
        <item x="2"/>
        <item x="1"/>
        <item t="default"/>
      </items>
    </pivotField>
    <pivotField showAll="0">
      <items count="4">
        <item x="2"/>
        <item x="0"/>
        <item x="1"/>
        <item t="default"/>
      </items>
    </pivotField>
    <pivotField showAll="0"/>
    <pivotField showAll="0"/>
    <pivotField numFmtId="165" showAll="0"/>
    <pivotField dataField="1" numFmtId="165" showAll="0"/>
    <pivotField dataField="1" numFmtId="165" showAll="0"/>
    <pivotField dataField="1" numFmtId="165" showAll="0"/>
    <pivotField numFmtId="10" showAll="0"/>
    <pivotField numFmtId="10" showAll="0"/>
    <pivotField numFmtId="166"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Revenue_JOD" fld="8" baseField="0" baseItem="0" numFmtId="165"/>
    <dataField name="Count of Order_ID" fld="0" subtotal="count" baseField="0" baseItem="0"/>
    <dataField name="Sum of Cost_JOD" fld="9" baseField="0" baseItem="0" numFmtId="165"/>
    <dataField name="Sum of prof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D3C6AE9-68E4-45BC-8E89-3CC5897F58CE}" sourceName="Channel">
  <pivotTables>
    <pivotTable tabId="7" name="PivotTable1"/>
    <pivotTable tabId="6" name="PivotTable3"/>
    <pivotTable tabId="8" name="PivotTable2"/>
    <pivotTable tabId="10" name="PivotTable3"/>
    <pivotTable tabId="13" name="PivotTable1"/>
  </pivotTables>
  <data>
    <tabular pivotCacheId="84853084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D87F51CB-E5D8-45B6-932E-BDEBBB95E254}" sourceName="Employee">
  <pivotTables>
    <pivotTable tabId="8" name="PivotTable2"/>
    <pivotTable tabId="6" name="PivotTable3"/>
    <pivotTable tabId="7" name="PivotTable1"/>
    <pivotTable tabId="10" name="PivotTable3"/>
    <pivotTable tabId="13" name="PivotTable1"/>
  </pivotTables>
  <data>
    <tabular pivotCacheId="848530849">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28BC4F3-7D03-4DEC-A040-DF6152B406A3}" sourceName="Branch">
  <pivotTables>
    <pivotTable tabId="6" name="PivotTable3"/>
    <pivotTable tabId="7" name="PivotTable1"/>
    <pivotTable tabId="8" name="PivotTable2"/>
    <pivotTable tabId="10" name="PivotTable3"/>
    <pivotTable tabId="13" name="PivotTable1"/>
  </pivotTables>
  <data>
    <tabular pivotCacheId="8485308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B8586B5E-94C5-4F43-9012-D00575604348}" cache="Slicer_Channel" caption="Channel"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2E8735A6-413C-44BF-B9B5-0C130701EEAD}" cache="Slicer_Employee" caption="Employee"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2D620AB5-5AC7-4BEA-91BE-17F4C4331220}" cache="Slicer_Channel" caption="Channel" rowHeight="230716"/>
  <slicer name="Employee 1" xr10:uid="{97C076EF-4681-4739-806F-C5AE09AF9B4C}" cache="Slicer_Employee" caption="Employee" rowHeight="230716"/>
  <slicer name="Branch" xr10:uid="{3339E100-BCB9-4A1C-94B9-AF6074605AF0}" cache="Slicer_Branch" caption="Branch"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RestaurantSales" displayName="RestaurantSales" ref="A1:T92" totalsRowCount="1" dataDxfId="135" totalsRowDxfId="134">
  <autoFilter ref="A1:T91" xr:uid="{00000000-000C-0000-FFFF-FFFF00000000}"/>
  <sortState xmlns:xlrd2="http://schemas.microsoft.com/office/spreadsheetml/2017/richdata2" ref="A2:O91">
    <sortCondition ref="C1:C91"/>
  </sortState>
  <tableColumns count="20">
    <tableColumn id="1" xr3:uid="{00000000-0010-0000-0000-000001000000}" name="Order_ID" totalsRowLabel="Total" dataDxfId="133" totalsRowDxfId="132"/>
    <tableColumn id="2" xr3:uid="{00000000-0010-0000-0000-000002000000}" name="Date" dataDxfId="131" totalsRowDxfId="130"/>
    <tableColumn id="3" xr3:uid="{00000000-0010-0000-0000-000003000000}" name="Employee" dataDxfId="129" totalsRowDxfId="128"/>
    <tableColumn id="4" xr3:uid="{00000000-0010-0000-0000-000004000000}" name="Branch" dataDxfId="127" totalsRowDxfId="126"/>
    <tableColumn id="5" xr3:uid="{00000000-0010-0000-0000-000005000000}" name="Channel" dataDxfId="125" totalsRowDxfId="124"/>
    <tableColumn id="6" xr3:uid="{00000000-0010-0000-0000-000006000000}" name="Item" dataDxfId="123" totalsRowDxfId="122"/>
    <tableColumn id="7" xr3:uid="{00000000-0010-0000-0000-000007000000}" name="Units" dataDxfId="121" totalsRowDxfId="120"/>
    <tableColumn id="8" xr3:uid="{00000000-0010-0000-0000-000008000000}" name="Unit_Price_JOD" totalsRowFunction="sum" dataDxfId="119" totalsRowDxfId="118"/>
    <tableColumn id="9" xr3:uid="{00000000-0010-0000-0000-000009000000}" name="Revenue_JOD" totalsRowFunction="average" dataDxfId="117" totalsRowDxfId="116"/>
    <tableColumn id="10" xr3:uid="{00000000-0010-0000-0000-00000A000000}" name="Cost_JOD" totalsRowFunction="average" dataDxfId="115" totalsRowDxfId="114"/>
    <tableColumn id="17" xr3:uid="{F45C298E-2A41-4D00-B739-3F5F1D9A2142}" name="proft" totalsRowFunction="sum" dataDxfId="113" totalsRowDxfId="112">
      <calculatedColumnFormula>I2-J2</calculatedColumnFormula>
    </tableColumn>
    <tableColumn id="18" xr3:uid="{E7F67E55-E4F6-4612-8CDE-663B666CF36C}" name="Profit Margin" dataDxfId="111" totalsRowDxfId="110">
      <calculatedColumnFormula>K2/I2</calculatedColumnFormula>
    </tableColumn>
    <tableColumn id="19" xr3:uid="{48190E22-2601-482E-A345-3457DF87AE28}" name="Target_Margin" dataDxfId="109" totalsRowDxfId="108">
      <calculatedColumnFormula>_xlfn.XLOOKUP(F2,Menu_Lookup!$A$2:$A$11,Menu_Lookup!$C$2:$C$11,"NOT FOUND")</calculatedColumnFormula>
    </tableColumn>
    <tableColumn id="20" xr3:uid="{32CBF160-7A85-4C33-87C9-BCD98BF2EAF7}" name="Target_Profit_JOD" totalsRowFunction="sum" dataDxfId="107" totalsRowDxfId="106">
      <calculatedColumnFormula>I2*M2</calculatedColumnFormula>
    </tableColumn>
    <tableColumn id="11" xr3:uid="{00000000-0010-0000-0000-00000B000000}" name="Customer_Type" dataDxfId="105" totalsRowDxfId="104"/>
    <tableColumn id="12" xr3:uid="{2B00011E-C93F-483E-B4EA-6F0E9FF62E56}" name="Space_Check" dataDxfId="103" totalsRowDxfId="102">
      <calculatedColumnFormula>IF(OR(C2&lt;&gt;TRIM(C2),D2&lt;&gt;TRIM(D2),E2&lt;&gt;TRIM(E2),F2&lt;&gt;TRIM(F2),O2&lt;&gt;TRIM(O2)),"CHECK","OK")</calculatedColumnFormula>
    </tableColumn>
    <tableColumn id="13" xr3:uid="{A98C59FB-DC26-44E8-B168-0973AC1C906A}" name="Case_Check" dataDxfId="101" totalsRowDxfId="100">
      <calculatedColumnFormula>IF(OR(NOT(EXACT(C2,PROPER(C2))),NOT(EXACT(D2,PROPER(D2))),AND(E2&lt;&gt;"",NOT(OR(EXACT(E2,"Dine-in"),EXACT(E2,"Delivery"),EXACT(E2,"Takeaway")))),NOT(EXACT(F2,PROPER(F2))),NOT(EXACT(O2,PROPER(O2)))),"CHECK","OK")</calculatedColumnFormula>
    </tableColumn>
    <tableColumn id="14" xr3:uid="{49AD309D-4F8E-4489-AEAE-411DFAF0B69D}" name="Missing_Check" dataDxfId="99" totalsRowDxfId="98">
      <calculatedColumnFormula>IF(COUNTBLANK(A2:O2)&gt;0,"CHECK","OK")</calculatedColumnFormula>
    </tableColumn>
    <tableColumn id="15" xr3:uid="{8CDA7B03-77A6-4337-A490-A42FA5027D0C}" name="Type_Check" dataDxfId="97" totalsRowDxfId="96">
      <calculatedColumnFormula>IF(AND(ISNUMBER(B2),ISNUMBER(G2),ISNUMBER(H2),ISNUMBER(I2),ISNUMBER(J2)),"OK","CHECK")</calculatedColumnFormula>
    </tableColumn>
    <tableColumn id="16" xr3:uid="{7E71067B-0E7D-4F07-A9DA-F22439D08BA5}" name="Exact_Duplicate_Check" dataDxfId="95" totalsRowDxfId="94">
      <calculatedColumnFormula>IF(COUNTIFS($B$2:$B$91,B2,$C$2:$C$91,C2,$D$2:$D$91,D2,$E$2:$E$91,E2,$F$2:$F$91,F2,$G$2:$G$91,G2,$H$2:$H$91,H2,$I$2:$I$91,I2,$J$2:$J$91,J2,$K$2:$K$91,K2)&gt;1,"CHECK","OK")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MenuLookup" displayName="MenuLookup" ref="A1:C11" totalsRowShown="0">
  <autoFilter ref="A1:C11" xr:uid="{00000000-000C-0000-FFFF-FFFF01000000}"/>
  <sortState xmlns:xlrd2="http://schemas.microsoft.com/office/spreadsheetml/2017/richdata2" ref="A2:C11">
    <sortCondition ref="C2:C11"/>
  </sortState>
  <tableColumns count="3">
    <tableColumn id="1" xr3:uid="{00000000-0010-0000-0100-000001000000}" name="Item"/>
    <tableColumn id="2" xr3:uid="{00000000-0010-0000-0100-000002000000}" name="Category"/>
    <tableColumn id="3" xr3:uid="{00000000-0010-0000-0100-000003000000}" name="Target_Margi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5"/>
  <sheetViews>
    <sheetView topLeftCell="A6" workbookViewId="0">
      <selection activeCell="D23" sqref="D23"/>
    </sheetView>
  </sheetViews>
  <sheetFormatPr defaultRowHeight="14"/>
  <cols>
    <col min="1" max="1" width="20" customWidth="1"/>
    <col min="2" max="2" width="95" customWidth="1"/>
  </cols>
  <sheetData>
    <row r="1" spans="1:2" ht="36">
      <c r="A1" s="1" t="s">
        <v>0</v>
      </c>
      <c r="B1" s="1" t="s">
        <v>1</v>
      </c>
    </row>
    <row r="2" spans="1:2" ht="28">
      <c r="A2" s="2" t="s">
        <v>2</v>
      </c>
      <c r="B2" s="2" t="s">
        <v>3</v>
      </c>
    </row>
    <row r="3" spans="1:2" ht="28">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c r="B8" s="2"/>
    </row>
    <row r="9" spans="1:2">
      <c r="A9" s="3" t="s">
        <v>14</v>
      </c>
      <c r="B9" s="3"/>
    </row>
    <row r="10" spans="1:2">
      <c r="A10" s="2" t="s">
        <v>15</v>
      </c>
      <c r="B10" s="2" t="s">
        <v>16</v>
      </c>
    </row>
    <row r="11" spans="1:2" ht="28">
      <c r="A11" s="2" t="s">
        <v>17</v>
      </c>
      <c r="B11" s="2" t="s">
        <v>18</v>
      </c>
    </row>
    <row r="12" spans="1:2">
      <c r="A12" s="2" t="s">
        <v>19</v>
      </c>
      <c r="B12" s="2" t="s">
        <v>20</v>
      </c>
    </row>
    <row r="13" spans="1:2">
      <c r="A13" s="2" t="s">
        <v>21</v>
      </c>
      <c r="B13" s="2" t="s">
        <v>22</v>
      </c>
    </row>
    <row r="14" spans="1:2">
      <c r="A14" s="2" t="s">
        <v>23</v>
      </c>
      <c r="B14" s="2" t="s">
        <v>24</v>
      </c>
    </row>
    <row r="15" spans="1:2">
      <c r="A15" s="2" t="s">
        <v>25</v>
      </c>
      <c r="B15" s="2" t="s">
        <v>26</v>
      </c>
    </row>
    <row r="16" spans="1:2">
      <c r="A16" s="2" t="s">
        <v>27</v>
      </c>
      <c r="B16" s="2" t="s">
        <v>28</v>
      </c>
    </row>
    <row r="17" spans="1:2">
      <c r="A17" s="2"/>
      <c r="B17" s="2"/>
    </row>
    <row r="18" spans="1:2">
      <c r="A18" s="3" t="s">
        <v>29</v>
      </c>
      <c r="B18" s="3"/>
    </row>
    <row r="19" spans="1:2">
      <c r="A19" s="2" t="s">
        <v>30</v>
      </c>
      <c r="B19" s="2" t="s">
        <v>31</v>
      </c>
    </row>
    <row r="20" spans="1:2">
      <c r="A20" s="2" t="s">
        <v>30</v>
      </c>
      <c r="B20" s="2" t="s">
        <v>32</v>
      </c>
    </row>
    <row r="21" spans="1:2">
      <c r="A21" s="2" t="s">
        <v>30</v>
      </c>
      <c r="B21" s="2" t="s">
        <v>33</v>
      </c>
    </row>
    <row r="22" spans="1:2">
      <c r="A22" s="2" t="s">
        <v>30</v>
      </c>
      <c r="B22" s="2" t="s">
        <v>34</v>
      </c>
    </row>
    <row r="23" spans="1:2">
      <c r="A23" s="2" t="s">
        <v>30</v>
      </c>
      <c r="B23" s="2" t="s">
        <v>35</v>
      </c>
    </row>
    <row r="24" spans="1:2">
      <c r="A24" s="2"/>
      <c r="B24" s="2"/>
    </row>
    <row r="25" spans="1:2">
      <c r="A25" s="2"/>
      <c r="B2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18B0-F5CD-4ABE-A23D-95A1229BFD8D}">
  <dimension ref="A3:D17"/>
  <sheetViews>
    <sheetView workbookViewId="0">
      <selection activeCell="B3" sqref="B3"/>
    </sheetView>
  </sheetViews>
  <sheetFormatPr defaultRowHeight="14"/>
  <cols>
    <col min="1" max="1" width="12.9140625" bestFit="1" customWidth="1"/>
    <col min="2" max="2" width="11.5" bestFit="1" customWidth="1"/>
    <col min="3" max="3" width="6.25" bestFit="1" customWidth="1"/>
    <col min="4" max="4" width="11.33203125" bestFit="1" customWidth="1"/>
  </cols>
  <sheetData>
    <row r="3" spans="1:4">
      <c r="A3" s="20" t="s">
        <v>177</v>
      </c>
      <c r="B3" t="s">
        <v>197</v>
      </c>
      <c r="C3" t="s">
        <v>196</v>
      </c>
      <c r="D3" t="s">
        <v>175</v>
      </c>
    </row>
    <row r="4" spans="1:4">
      <c r="A4" s="21" t="s">
        <v>49</v>
      </c>
      <c r="B4" s="22">
        <v>583.5</v>
      </c>
      <c r="C4" s="23">
        <v>213.90000000000003</v>
      </c>
      <c r="D4" s="16">
        <f>C4/B4</f>
        <v>0.36658097686375329</v>
      </c>
    </row>
    <row r="5" spans="1:4">
      <c r="A5" s="21" t="s">
        <v>72</v>
      </c>
      <c r="B5" s="22">
        <v>367.39999999999992</v>
      </c>
      <c r="C5" s="23">
        <v>144.24</v>
      </c>
      <c r="D5" s="16">
        <f t="shared" ref="D5:D7" si="0">C5/B5</f>
        <v>0.39259662493195441</v>
      </c>
    </row>
    <row r="6" spans="1:4">
      <c r="A6" s="21" t="s">
        <v>59</v>
      </c>
      <c r="B6" s="22">
        <v>336.59999999999997</v>
      </c>
      <c r="C6" s="23">
        <v>121.31000000000003</v>
      </c>
      <c r="D6" s="16">
        <f t="shared" si="0"/>
        <v>0.36039809863339289</v>
      </c>
    </row>
    <row r="7" spans="1:4">
      <c r="A7" s="21" t="s">
        <v>178</v>
      </c>
      <c r="B7" s="22">
        <v>1287.4999999999998</v>
      </c>
      <c r="C7" s="23">
        <v>479.45000000000005</v>
      </c>
      <c r="D7" s="16">
        <f t="shared" si="0"/>
        <v>0.37238834951456323</v>
      </c>
    </row>
    <row r="17" spans="2:4">
      <c r="B17" s="38" t="s">
        <v>184</v>
      </c>
      <c r="C17" s="38"/>
      <c r="D17" s="38"/>
    </row>
  </sheetData>
  <mergeCells count="1">
    <mergeCell ref="B17:D17"/>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8CC5-0404-4B97-99CB-28E105FDE4BE}">
  <dimension ref="A3:E17"/>
  <sheetViews>
    <sheetView workbookViewId="0">
      <selection activeCell="C13" sqref="C13"/>
    </sheetView>
  </sheetViews>
  <sheetFormatPr defaultRowHeight="14"/>
  <cols>
    <col min="1" max="1" width="12.9140625" bestFit="1" customWidth="1"/>
    <col min="2" max="2" width="6.25" bestFit="1" customWidth="1"/>
    <col min="3" max="3" width="11.5" bestFit="1" customWidth="1"/>
  </cols>
  <sheetData>
    <row r="3" spans="1:3">
      <c r="A3" s="20" t="s">
        <v>177</v>
      </c>
      <c r="B3" t="s">
        <v>196</v>
      </c>
      <c r="C3" t="s">
        <v>197</v>
      </c>
    </row>
    <row r="4" spans="1:3">
      <c r="A4" s="21" t="s">
        <v>55</v>
      </c>
      <c r="B4" s="23">
        <v>172.14000000000001</v>
      </c>
      <c r="C4" s="22">
        <v>467.1</v>
      </c>
    </row>
    <row r="5" spans="1:3">
      <c r="A5" s="21" t="s">
        <v>68</v>
      </c>
      <c r="B5" s="23">
        <v>162.05999999999995</v>
      </c>
      <c r="C5" s="22">
        <v>439.79999999999995</v>
      </c>
    </row>
    <row r="6" spans="1:3">
      <c r="A6" s="21" t="s">
        <v>50</v>
      </c>
      <c r="B6" s="23">
        <v>145.24999999999997</v>
      </c>
      <c r="C6" s="22">
        <v>380.59999999999997</v>
      </c>
    </row>
    <row r="7" spans="1:3">
      <c r="A7" s="21" t="s">
        <v>178</v>
      </c>
      <c r="B7" s="23">
        <v>479.44999999999993</v>
      </c>
      <c r="C7" s="22">
        <v>1287.5</v>
      </c>
    </row>
    <row r="17" spans="3:5">
      <c r="C17" s="38" t="s">
        <v>181</v>
      </c>
      <c r="D17" s="38"/>
      <c r="E17" s="38"/>
    </row>
  </sheetData>
  <mergeCells count="1">
    <mergeCell ref="C17:E1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FE5D-07AA-48F7-A01F-5384A825CB7A}">
  <dimension ref="A3:D20"/>
  <sheetViews>
    <sheetView workbookViewId="0">
      <selection activeCell="A4" sqref="A4:A9"/>
      <pivotSelection pane="bottomRight" showHeader="1" activeRow="9" click="1" r:id="rId1">
        <pivotArea dataOnly="0" labelOnly="1" fieldPosition="0">
          <references count="1">
            <reference field="2" count="0"/>
          </references>
        </pivotArea>
      </pivotSelection>
    </sheetView>
  </sheetViews>
  <sheetFormatPr defaultRowHeight="14"/>
  <cols>
    <col min="1" max="1" width="12.9140625" bestFit="1" customWidth="1"/>
    <col min="2" max="2" width="11.5" bestFit="1" customWidth="1"/>
    <col min="3" max="3" width="10.5" bestFit="1" customWidth="1"/>
  </cols>
  <sheetData>
    <row r="3" spans="1:3">
      <c r="A3" s="20" t="s">
        <v>177</v>
      </c>
      <c r="B3" t="s">
        <v>197</v>
      </c>
      <c r="C3" t="s">
        <v>196</v>
      </c>
    </row>
    <row r="4" spans="1:3">
      <c r="A4" s="21" t="s">
        <v>54</v>
      </c>
      <c r="B4" s="22">
        <v>144.9</v>
      </c>
      <c r="C4" s="22">
        <v>53.68</v>
      </c>
    </row>
    <row r="5" spans="1:3">
      <c r="A5" s="21" t="s">
        <v>48</v>
      </c>
      <c r="B5" s="22">
        <v>247.8</v>
      </c>
      <c r="C5" s="22">
        <v>88.42</v>
      </c>
    </row>
    <row r="6" spans="1:3">
      <c r="A6" s="21" t="s">
        <v>88</v>
      </c>
      <c r="B6" s="22">
        <v>232</v>
      </c>
      <c r="C6" s="22">
        <v>91.34</v>
      </c>
    </row>
    <row r="7" spans="1:3">
      <c r="A7" s="21" t="s">
        <v>58</v>
      </c>
      <c r="B7" s="22">
        <v>163.19999999999999</v>
      </c>
      <c r="C7" s="22">
        <v>64.14</v>
      </c>
    </row>
    <row r="8" spans="1:3">
      <c r="A8" s="21" t="s">
        <v>64</v>
      </c>
      <c r="B8" s="22">
        <v>330.2</v>
      </c>
      <c r="C8" s="22">
        <v>119.60000000000002</v>
      </c>
    </row>
    <row r="9" spans="1:3">
      <c r="A9" s="21" t="s">
        <v>75</v>
      </c>
      <c r="B9" s="22">
        <v>149.4</v>
      </c>
      <c r="C9" s="22">
        <v>55.129999999999995</v>
      </c>
    </row>
    <row r="10" spans="1:3">
      <c r="A10" s="21" t="s">
        <v>199</v>
      </c>
      <c r="B10" s="22">
        <v>20</v>
      </c>
      <c r="C10" s="22">
        <v>7.1400000000000006</v>
      </c>
    </row>
    <row r="11" spans="1:3">
      <c r="A11" s="21" t="s">
        <v>178</v>
      </c>
      <c r="B11" s="22">
        <v>1287.5000000000002</v>
      </c>
      <c r="C11" s="22">
        <v>479.45</v>
      </c>
    </row>
    <row r="20" spans="2:4">
      <c r="B20" s="38" t="s">
        <v>182</v>
      </c>
      <c r="C20" s="38"/>
      <c r="D20" s="38"/>
    </row>
  </sheetData>
  <mergeCells count="1">
    <mergeCell ref="B20:D20"/>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C349-1CFE-4A40-ADBD-CA9AA54DF437}">
  <dimension ref="A3:P28"/>
  <sheetViews>
    <sheetView workbookViewId="0">
      <selection activeCell="A18" sqref="A18:C28"/>
    </sheetView>
  </sheetViews>
  <sheetFormatPr defaultRowHeight="14"/>
  <cols>
    <col min="1" max="1" width="15" bestFit="1" customWidth="1"/>
    <col min="2" max="2" width="19.83203125" bestFit="1" customWidth="1"/>
    <col min="3" max="3" width="23.5" style="7" bestFit="1" customWidth="1"/>
    <col min="4" max="4" width="11.33203125" bestFit="1" customWidth="1"/>
    <col min="5" max="5" width="11.6640625" bestFit="1" customWidth="1"/>
    <col min="6" max="6" width="12" bestFit="1" customWidth="1"/>
    <col min="7" max="7" width="10.1640625" bestFit="1" customWidth="1"/>
  </cols>
  <sheetData>
    <row r="3" spans="1:16">
      <c r="A3" s="34" t="s">
        <v>177</v>
      </c>
      <c r="B3" s="7" t="s">
        <v>179</v>
      </c>
      <c r="C3" s="7" t="s">
        <v>188</v>
      </c>
      <c r="D3" s="7" t="s">
        <v>180</v>
      </c>
      <c r="E3" s="7" t="s">
        <v>189</v>
      </c>
      <c r="F3" t="s">
        <v>190</v>
      </c>
      <c r="G3" t="s">
        <v>191</v>
      </c>
    </row>
    <row r="4" spans="1:16">
      <c r="A4" s="7" t="s">
        <v>51</v>
      </c>
      <c r="B4" s="9">
        <v>253</v>
      </c>
      <c r="C4" s="19">
        <v>88.549999999999983</v>
      </c>
      <c r="D4" s="9">
        <v>79.19</v>
      </c>
      <c r="E4" s="15">
        <f>D4/B4</f>
        <v>0.31300395256916996</v>
      </c>
      <c r="F4" s="16">
        <f>C4/B4</f>
        <v>0.34999999999999992</v>
      </c>
      <c r="G4" s="35">
        <f>E4-F4</f>
        <v>-3.6996047430829959E-2</v>
      </c>
    </row>
    <row r="5" spans="1:16">
      <c r="A5" s="7" t="s">
        <v>62</v>
      </c>
      <c r="B5" s="9">
        <v>217</v>
      </c>
      <c r="C5" s="19">
        <v>78.12</v>
      </c>
      <c r="D5" s="9">
        <v>78.72999999999999</v>
      </c>
      <c r="E5" s="15">
        <f t="shared" ref="E5:E14" si="0">D5/B5</f>
        <v>0.36281105990783408</v>
      </c>
      <c r="F5" s="16">
        <f t="shared" ref="F5:F14" si="1">C5/B5</f>
        <v>0.36000000000000004</v>
      </c>
      <c r="G5" s="16">
        <f t="shared" ref="G5:G14" si="2">E5-F5</f>
        <v>2.8110599078340348E-3</v>
      </c>
    </row>
    <row r="6" spans="1:16">
      <c r="A6" s="7" t="s">
        <v>79</v>
      </c>
      <c r="B6" s="9">
        <v>168.5</v>
      </c>
      <c r="C6" s="19">
        <v>67.400000000000006</v>
      </c>
      <c r="D6" s="9">
        <v>69.650000000000006</v>
      </c>
      <c r="E6" s="15">
        <f t="shared" si="0"/>
        <v>0.41335311572700301</v>
      </c>
      <c r="F6" s="16">
        <f t="shared" si="1"/>
        <v>0.4</v>
      </c>
      <c r="G6" s="16">
        <f t="shared" si="2"/>
        <v>1.3353115727002984E-2</v>
      </c>
    </row>
    <row r="7" spans="1:16">
      <c r="A7" s="7" t="s">
        <v>85</v>
      </c>
      <c r="B7" s="9">
        <v>145</v>
      </c>
      <c r="C7" s="19">
        <v>49.3</v>
      </c>
      <c r="D7" s="9">
        <v>49.330000000000005</v>
      </c>
      <c r="E7" s="15">
        <f t="shared" si="0"/>
        <v>0.3402068965517242</v>
      </c>
      <c r="F7" s="16">
        <f t="shared" si="1"/>
        <v>0.33999999999999997</v>
      </c>
      <c r="G7" s="16">
        <f t="shared" si="2"/>
        <v>2.0689655172423382E-4</v>
      </c>
    </row>
    <row r="8" spans="1:16">
      <c r="A8" s="7" t="s">
        <v>65</v>
      </c>
      <c r="B8" s="9">
        <v>137.5</v>
      </c>
      <c r="C8" s="19">
        <v>45.374999999999993</v>
      </c>
      <c r="D8" s="9">
        <v>44.25</v>
      </c>
      <c r="E8" s="15">
        <f t="shared" si="0"/>
        <v>0.32181818181818184</v>
      </c>
      <c r="F8" s="16">
        <f t="shared" si="1"/>
        <v>0.32999999999999996</v>
      </c>
      <c r="G8" s="35">
        <f t="shared" si="2"/>
        <v>-8.1818181818181235E-3</v>
      </c>
      <c r="I8" s="38" t="s">
        <v>192</v>
      </c>
      <c r="J8" s="38"/>
      <c r="K8" s="38"/>
      <c r="L8" s="38"/>
      <c r="M8" s="38"/>
      <c r="N8" s="38"/>
      <c r="O8" s="38"/>
      <c r="P8" s="38"/>
    </row>
    <row r="9" spans="1:16">
      <c r="A9" s="7" t="s">
        <v>89</v>
      </c>
      <c r="B9" s="9">
        <v>114</v>
      </c>
      <c r="C9" s="19">
        <v>43.320000000000007</v>
      </c>
      <c r="D9" s="9">
        <v>44.35</v>
      </c>
      <c r="E9" s="15">
        <f t="shared" si="0"/>
        <v>0.38903508771929823</v>
      </c>
      <c r="F9" s="16">
        <f t="shared" si="1"/>
        <v>0.38000000000000006</v>
      </c>
      <c r="G9" s="16">
        <f t="shared" si="2"/>
        <v>9.0350877192981738E-3</v>
      </c>
    </row>
    <row r="10" spans="1:16">
      <c r="A10" s="7" t="s">
        <v>100</v>
      </c>
      <c r="B10" s="9">
        <v>79.8</v>
      </c>
      <c r="C10" s="19">
        <v>33.515999999999998</v>
      </c>
      <c r="D10" s="9">
        <v>35.229999999999997</v>
      </c>
      <c r="E10" s="15">
        <f t="shared" si="0"/>
        <v>0.44147869674185464</v>
      </c>
      <c r="F10" s="16">
        <f t="shared" si="1"/>
        <v>0.42</v>
      </c>
      <c r="G10" s="16">
        <f t="shared" si="2"/>
        <v>2.1478696741854653E-2</v>
      </c>
    </row>
    <row r="11" spans="1:16">
      <c r="A11" s="7" t="s">
        <v>56</v>
      </c>
      <c r="B11" s="9">
        <v>55.199999999999996</v>
      </c>
      <c r="C11" s="19">
        <v>30.360000000000003</v>
      </c>
      <c r="D11" s="9">
        <v>33.04</v>
      </c>
      <c r="E11" s="15">
        <f t="shared" si="0"/>
        <v>0.59855072463768122</v>
      </c>
      <c r="F11" s="16">
        <f t="shared" si="1"/>
        <v>0.55000000000000004</v>
      </c>
      <c r="G11" s="16">
        <f t="shared" si="2"/>
        <v>4.8550724637681175E-2</v>
      </c>
    </row>
    <row r="12" spans="1:16">
      <c r="A12" s="7" t="s">
        <v>70</v>
      </c>
      <c r="B12" s="9">
        <v>50</v>
      </c>
      <c r="C12" s="19">
        <v>24</v>
      </c>
      <c r="D12" s="9">
        <v>25.070000000000004</v>
      </c>
      <c r="E12" s="15">
        <f t="shared" si="0"/>
        <v>0.50140000000000007</v>
      </c>
      <c r="F12" s="16">
        <f t="shared" si="1"/>
        <v>0.48</v>
      </c>
      <c r="G12" s="16">
        <f t="shared" si="2"/>
        <v>2.1400000000000086E-2</v>
      </c>
    </row>
    <row r="13" spans="1:16">
      <c r="A13" s="7" t="s">
        <v>96</v>
      </c>
      <c r="B13" s="9">
        <v>67.5</v>
      </c>
      <c r="C13" s="19">
        <v>21.6</v>
      </c>
      <c r="D13" s="9">
        <v>20.61</v>
      </c>
      <c r="E13" s="15">
        <f t="shared" si="0"/>
        <v>0.30533333333333335</v>
      </c>
      <c r="F13" s="16">
        <f t="shared" si="1"/>
        <v>0.32</v>
      </c>
      <c r="G13" s="35">
        <f t="shared" si="2"/>
        <v>-1.4666666666666661E-2</v>
      </c>
    </row>
    <row r="14" spans="1:16">
      <c r="A14" s="7" t="s">
        <v>178</v>
      </c>
      <c r="B14" s="9">
        <v>1287.5</v>
      </c>
      <c r="C14" s="19">
        <v>481.541</v>
      </c>
      <c r="D14" s="9">
        <v>479.45</v>
      </c>
      <c r="E14" s="15">
        <f t="shared" si="0"/>
        <v>0.37238834951456312</v>
      </c>
      <c r="F14" s="16">
        <f t="shared" si="1"/>
        <v>0.37401242718446603</v>
      </c>
      <c r="G14" s="35">
        <f t="shared" si="2"/>
        <v>-1.6240776699029125E-3</v>
      </c>
    </row>
    <row r="18" spans="1:3" ht="17.5">
      <c r="A18" s="39" t="s">
        <v>41</v>
      </c>
      <c r="B18" s="39" t="s">
        <v>189</v>
      </c>
      <c r="C18" s="39" t="s">
        <v>190</v>
      </c>
    </row>
    <row r="19" spans="1:3">
      <c r="A19" t="str">
        <f>A4</f>
        <v>Beef Burger</v>
      </c>
      <c r="B19" s="15">
        <f>E4</f>
        <v>0.31300395256916996</v>
      </c>
      <c r="C19" s="15">
        <f>F4</f>
        <v>0.34999999999999992</v>
      </c>
    </row>
    <row r="20" spans="1:3">
      <c r="A20" t="str">
        <f t="shared" ref="A20:A28" si="3">A5</f>
        <v>Pepperoni Pizza</v>
      </c>
      <c r="B20" s="15">
        <f t="shared" ref="B20:C20" si="4">E5</f>
        <v>0.36281105990783408</v>
      </c>
      <c r="C20" s="15">
        <f t="shared" si="4"/>
        <v>0.36000000000000004</v>
      </c>
    </row>
    <row r="21" spans="1:3">
      <c r="A21" t="str">
        <f t="shared" si="3"/>
        <v>Greek Salad</v>
      </c>
      <c r="B21" s="15">
        <f t="shared" ref="B21:C21" si="5">E6</f>
        <v>0.41335311572700301</v>
      </c>
      <c r="C21" s="15">
        <f t="shared" si="5"/>
        <v>0.4</v>
      </c>
    </row>
    <row r="22" spans="1:3">
      <c r="A22" t="str">
        <f t="shared" si="3"/>
        <v>Chicken Pasta</v>
      </c>
      <c r="B22" s="15">
        <f t="shared" ref="B22:C22" si="6">E7</f>
        <v>0.3402068965517242</v>
      </c>
      <c r="C22" s="15">
        <f t="shared" si="6"/>
        <v>0.33999999999999997</v>
      </c>
    </row>
    <row r="23" spans="1:3">
      <c r="A23" t="str">
        <f t="shared" si="3"/>
        <v>Alfredo Pasta</v>
      </c>
      <c r="B23" s="15">
        <f t="shared" ref="B23:C23" si="7">E8</f>
        <v>0.32181818181818184</v>
      </c>
      <c r="C23" s="15">
        <f t="shared" si="7"/>
        <v>0.32999999999999996</v>
      </c>
    </row>
    <row r="24" spans="1:3">
      <c r="A24" t="str">
        <f t="shared" si="3"/>
        <v>Margherita Pizza</v>
      </c>
      <c r="B24" s="15">
        <f t="shared" ref="B24:C24" si="8">E9</f>
        <v>0.38903508771929823</v>
      </c>
      <c r="C24" s="15">
        <f t="shared" si="8"/>
        <v>0.38000000000000006</v>
      </c>
    </row>
    <row r="25" spans="1:3">
      <c r="A25" t="str">
        <f t="shared" si="3"/>
        <v>Caesar Salad</v>
      </c>
      <c r="B25" s="15">
        <f t="shared" ref="B25:C25" si="9">E10</f>
        <v>0.44147869674185464</v>
      </c>
      <c r="C25" s="15">
        <f t="shared" si="9"/>
        <v>0.42</v>
      </c>
    </row>
    <row r="26" spans="1:3">
      <c r="A26" t="str">
        <f t="shared" si="3"/>
        <v>Soft Drink</v>
      </c>
      <c r="B26" s="15">
        <f t="shared" ref="B26:C26" si="10">E11</f>
        <v>0.59855072463768122</v>
      </c>
      <c r="C26" s="15">
        <f t="shared" si="10"/>
        <v>0.55000000000000004</v>
      </c>
    </row>
    <row r="27" spans="1:3">
      <c r="A27" t="str">
        <f t="shared" si="3"/>
        <v>Fresh Juice</v>
      </c>
      <c r="B27" s="15">
        <f t="shared" ref="B27:C27" si="11">E12</f>
        <v>0.50140000000000007</v>
      </c>
      <c r="C27" s="15">
        <f t="shared" si="11"/>
        <v>0.48</v>
      </c>
    </row>
    <row r="28" spans="1:3">
      <c r="A28" t="str">
        <f t="shared" si="3"/>
        <v>Chicken Burger</v>
      </c>
      <c r="B28" s="15">
        <f t="shared" ref="B28:C28" si="12">E13</f>
        <v>0.30533333333333335</v>
      </c>
      <c r="C28" s="15">
        <f t="shared" si="12"/>
        <v>0.32</v>
      </c>
    </row>
  </sheetData>
  <mergeCells count="1">
    <mergeCell ref="I8:P8"/>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9E68-E5AA-4732-9AEF-2D12F1B994AD}">
  <dimension ref="A3:E4"/>
  <sheetViews>
    <sheetView workbookViewId="0">
      <selection activeCell="D19" sqref="D19"/>
    </sheetView>
  </sheetViews>
  <sheetFormatPr defaultRowHeight="14"/>
  <cols>
    <col min="1" max="1" width="19.83203125" bestFit="1" customWidth="1"/>
    <col min="2" max="2" width="16.25" bestFit="1" customWidth="1"/>
    <col min="3" max="3" width="16.1640625" bestFit="1" customWidth="1"/>
    <col min="4" max="4" width="11.33203125" bestFit="1" customWidth="1"/>
    <col min="5" max="5" width="17.75" bestFit="1" customWidth="1"/>
  </cols>
  <sheetData>
    <row r="3" spans="1:5">
      <c r="A3" t="s">
        <v>179</v>
      </c>
      <c r="B3" t="s">
        <v>202</v>
      </c>
      <c r="C3" t="s">
        <v>201</v>
      </c>
      <c r="D3" t="s">
        <v>180</v>
      </c>
      <c r="E3" t="s">
        <v>198</v>
      </c>
    </row>
    <row r="4" spans="1:5">
      <c r="A4" s="22">
        <v>1287.5000000000002</v>
      </c>
      <c r="B4" s="43">
        <v>90</v>
      </c>
      <c r="C4" s="22">
        <v>808.05000000000018</v>
      </c>
      <c r="D4" s="22">
        <v>479.45</v>
      </c>
      <c r="E4" s="19">
        <f>A4/B4</f>
        <v>14.305555555555559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T93"/>
  <sheetViews>
    <sheetView zoomScale="77" workbookViewId="0">
      <pane ySplit="1" topLeftCell="A2" activePane="bottomLeft" state="frozen"/>
      <selection pane="bottomLeft" activeCell="H84" sqref="A2:T91"/>
    </sheetView>
  </sheetViews>
  <sheetFormatPr defaultRowHeight="14"/>
  <cols>
    <col min="1" max="1" width="14.08203125" bestFit="1" customWidth="1"/>
    <col min="2" max="2" width="11.25" bestFit="1" customWidth="1"/>
    <col min="3" max="3" width="14.58203125" bestFit="1" customWidth="1"/>
    <col min="4" max="4" width="12.5" bestFit="1" customWidth="1"/>
    <col min="5" max="5" width="13.25" bestFit="1" customWidth="1"/>
    <col min="6" max="6" width="14.4140625" bestFit="1" customWidth="1"/>
    <col min="7" max="7" width="10.83203125" bestFit="1" customWidth="1"/>
    <col min="8" max="8" width="19.9140625" bestFit="1" customWidth="1"/>
    <col min="9" max="9" width="18.5" bestFit="1" customWidth="1"/>
    <col min="10" max="10" width="15" bestFit="1" customWidth="1"/>
    <col min="11" max="11" width="13.75" style="22" bestFit="1" customWidth="1"/>
    <col min="12" max="12" width="14.58203125" bestFit="1" customWidth="1"/>
    <col min="13" max="13" width="16" style="16" bestFit="1" customWidth="1"/>
    <col min="14" max="14" width="19.6640625" style="18" bestFit="1" customWidth="1"/>
    <col min="15" max="15" width="19.9140625" bestFit="1" customWidth="1"/>
    <col min="16" max="16" width="15.1640625" bestFit="1" customWidth="1"/>
    <col min="17" max="17" width="14.1640625" bestFit="1" customWidth="1"/>
    <col min="18" max="18" width="16.4140625" bestFit="1" customWidth="1"/>
    <col min="19" max="19" width="14.08203125" bestFit="1" customWidth="1"/>
    <col min="20" max="20" width="23.9140625" bestFit="1" customWidth="1"/>
  </cols>
  <sheetData>
    <row r="1" spans="1:20">
      <c r="A1" s="6" t="s">
        <v>36</v>
      </c>
      <c r="B1" s="6" t="s">
        <v>37</v>
      </c>
      <c r="C1" s="6" t="s">
        <v>38</v>
      </c>
      <c r="D1" s="6" t="s">
        <v>39</v>
      </c>
      <c r="E1" s="6" t="s">
        <v>40</v>
      </c>
      <c r="F1" s="6" t="s">
        <v>41</v>
      </c>
      <c r="G1" s="6" t="s">
        <v>42</v>
      </c>
      <c r="H1" s="6" t="s">
        <v>43</v>
      </c>
      <c r="I1" s="6" t="s">
        <v>44</v>
      </c>
      <c r="J1" s="6" t="s">
        <v>45</v>
      </c>
      <c r="K1" s="33" t="s">
        <v>174</v>
      </c>
      <c r="L1" t="s">
        <v>175</v>
      </c>
      <c r="M1" s="16" t="s">
        <v>161</v>
      </c>
      <c r="N1" s="18" t="s">
        <v>176</v>
      </c>
      <c r="O1" s="6" t="s">
        <v>46</v>
      </c>
      <c r="P1" t="s">
        <v>168</v>
      </c>
      <c r="Q1" t="s">
        <v>169</v>
      </c>
      <c r="R1" t="s">
        <v>170</v>
      </c>
      <c r="S1" t="s">
        <v>171</v>
      </c>
      <c r="T1" t="s">
        <v>172</v>
      </c>
    </row>
    <row r="2" spans="1:20">
      <c r="A2" s="7" t="s">
        <v>47</v>
      </c>
      <c r="B2" s="8">
        <v>46237</v>
      </c>
      <c r="C2" s="7" t="s">
        <v>54</v>
      </c>
      <c r="D2" s="7" t="s">
        <v>49</v>
      </c>
      <c r="E2" s="7" t="s">
        <v>55</v>
      </c>
      <c r="F2" s="7" t="s">
        <v>56</v>
      </c>
      <c r="G2" s="7">
        <v>1</v>
      </c>
      <c r="H2" s="9">
        <v>1.2</v>
      </c>
      <c r="I2" s="9">
        <v>1.2</v>
      </c>
      <c r="J2" s="9">
        <v>0.49</v>
      </c>
      <c r="K2" s="9">
        <f t="shared" ref="K2:K32" si="0">I2-J2</f>
        <v>0.71</v>
      </c>
      <c r="L2" s="15">
        <f t="shared" ref="L2:L64" si="1">K2/I2</f>
        <v>0.59166666666666667</v>
      </c>
      <c r="M2" s="15">
        <f>_xlfn.XLOOKUP(F2,Menu_Lookup!$A$2:$A$11,Menu_Lookup!$C$2:$C$11,"NOT FOUND")</f>
        <v>0.55000000000000004</v>
      </c>
      <c r="N2" s="19">
        <f t="shared" ref="N2:N32" si="2">I2*M2</f>
        <v>0.66</v>
      </c>
      <c r="O2" s="7" t="s">
        <v>52</v>
      </c>
      <c r="P2" s="7" t="str">
        <f t="shared" ref="P2:P32" si="3">IF(OR(C2&lt;&gt;TRIM(C2),D2&lt;&gt;TRIM(D2),E2&lt;&gt;TRIM(E2),F2&lt;&gt;TRIM(F2),O2&lt;&gt;TRIM(O2)),"CHECK","OK")</f>
        <v>OK</v>
      </c>
      <c r="Q2" s="7" t="str">
        <f t="shared" ref="Q2:Q32" si="4">IF(OR(NOT(EXACT(C2,PROPER(C2))),NOT(EXACT(D2,PROPER(D2))),AND(E2&lt;&gt;"",NOT(OR(EXACT(E2,"Dine-in"),EXACT(E2,"Delivery"),EXACT(E2,"Takeaway")))),NOT(EXACT(F2,PROPER(F2))),NOT(EXACT(O2,PROPER(O2)))),"CHECK","OK")</f>
        <v>OK</v>
      </c>
      <c r="R2" s="7" t="str">
        <f t="shared" ref="R2:R32" si="5">IF(COUNTBLANK(A2:O2)&gt;0,"CHECK","OK")</f>
        <v>OK</v>
      </c>
      <c r="S2" s="7" t="str">
        <f t="shared" ref="S2:S32" si="6">IF(AND(ISNUMBER(B2),ISNUMBER(G2),ISNUMBER(H2),ISNUMBER(I2),ISNUMBER(J2)),"OK","CHECK")</f>
        <v>OK</v>
      </c>
      <c r="T2" s="7" t="str">
        <f t="shared" ref="T2:T33" si="7">IF(COUNTIFS($B$2:$B$91,B2,$C$2:$C$91,C2,$D$2:$D$91,D2,$E$2:$E$91,E2,$F$2:$F$91,F2,$G$2:$G$91,G2,$H$2:$H$91,H2,$I$2:$I$91,I2,$J$2:$J$91,J2,$K$2:$K$91,K2)&gt;1,"CHECK","OK")</f>
        <v>OK</v>
      </c>
    </row>
    <row r="3" spans="1:20">
      <c r="A3" s="7" t="s">
        <v>53</v>
      </c>
      <c r="B3" s="8">
        <v>46286</v>
      </c>
      <c r="C3" s="7" t="s">
        <v>54</v>
      </c>
      <c r="D3" s="7" t="s">
        <v>49</v>
      </c>
      <c r="E3" s="7" t="s">
        <v>50</v>
      </c>
      <c r="F3" s="7" t="s">
        <v>62</v>
      </c>
      <c r="G3" s="7">
        <v>4</v>
      </c>
      <c r="H3" s="9">
        <v>7</v>
      </c>
      <c r="I3" s="9">
        <v>28</v>
      </c>
      <c r="J3" s="9">
        <v>17.760000000000002</v>
      </c>
      <c r="K3" s="9">
        <f t="shared" si="0"/>
        <v>10.239999999999998</v>
      </c>
      <c r="L3" s="15">
        <f t="shared" si="1"/>
        <v>0.36571428571428566</v>
      </c>
      <c r="M3" s="15">
        <f>_xlfn.XLOOKUP(F3,Menu_Lookup!$A$2:$A$11,Menu_Lookup!$C$2:$C$11,"NOT FOUND")</f>
        <v>0.36</v>
      </c>
      <c r="N3" s="19">
        <f t="shared" si="2"/>
        <v>10.08</v>
      </c>
      <c r="O3" s="7" t="s">
        <v>60</v>
      </c>
      <c r="P3" s="7" t="str">
        <f t="shared" si="3"/>
        <v>OK</v>
      </c>
      <c r="Q3" s="7" t="str">
        <f t="shared" si="4"/>
        <v>OK</v>
      </c>
      <c r="R3" s="7" t="str">
        <f t="shared" si="5"/>
        <v>OK</v>
      </c>
      <c r="S3" s="7" t="str">
        <f t="shared" si="6"/>
        <v>OK</v>
      </c>
      <c r="T3" s="7" t="str">
        <f t="shared" si="7"/>
        <v>OK</v>
      </c>
    </row>
    <row r="4" spans="1:20">
      <c r="A4" s="7" t="s">
        <v>57</v>
      </c>
      <c r="B4" s="8">
        <v>46259</v>
      </c>
      <c r="C4" s="7" t="s">
        <v>54</v>
      </c>
      <c r="D4" s="7" t="s">
        <v>59</v>
      </c>
      <c r="E4" s="7" t="s">
        <v>68</v>
      </c>
      <c r="F4" s="7" t="s">
        <v>56</v>
      </c>
      <c r="G4" s="7">
        <v>1</v>
      </c>
      <c r="H4" s="9">
        <v>1.2</v>
      </c>
      <c r="I4" s="9">
        <v>1.2</v>
      </c>
      <c r="J4" s="9">
        <v>0.51</v>
      </c>
      <c r="K4" s="9">
        <f t="shared" si="0"/>
        <v>0.69</v>
      </c>
      <c r="L4" s="15">
        <f t="shared" si="1"/>
        <v>0.57499999999999996</v>
      </c>
      <c r="M4" s="15">
        <f>_xlfn.XLOOKUP(F4,Menu_Lookup!$A$2:$A$11,Menu_Lookup!$C$2:$C$11,"NOT FOUND")</f>
        <v>0.55000000000000004</v>
      </c>
      <c r="N4" s="19">
        <f t="shared" si="2"/>
        <v>0.66</v>
      </c>
      <c r="O4" s="7" t="s">
        <v>60</v>
      </c>
      <c r="P4" s="7" t="str">
        <f t="shared" si="3"/>
        <v>OK</v>
      </c>
      <c r="Q4" s="7" t="str">
        <f t="shared" si="4"/>
        <v>OK</v>
      </c>
      <c r="R4" s="7" t="str">
        <f t="shared" si="5"/>
        <v>OK</v>
      </c>
      <c r="S4" s="7" t="str">
        <f t="shared" si="6"/>
        <v>OK</v>
      </c>
      <c r="T4" s="7" t="str">
        <f t="shared" si="7"/>
        <v>OK</v>
      </c>
    </row>
    <row r="5" spans="1:20">
      <c r="A5" s="7" t="s">
        <v>61</v>
      </c>
      <c r="B5" s="8">
        <v>46266</v>
      </c>
      <c r="C5" s="7" t="s">
        <v>54</v>
      </c>
      <c r="D5" s="7" t="s">
        <v>59</v>
      </c>
      <c r="E5" s="7" t="s">
        <v>55</v>
      </c>
      <c r="F5" s="7" t="s">
        <v>70</v>
      </c>
      <c r="G5" s="7">
        <v>1</v>
      </c>
      <c r="H5" s="9">
        <v>2.5</v>
      </c>
      <c r="I5" s="9">
        <v>2.5</v>
      </c>
      <c r="J5" s="9">
        <v>1.2</v>
      </c>
      <c r="K5" s="9">
        <f t="shared" si="0"/>
        <v>1.3</v>
      </c>
      <c r="L5" s="15">
        <f t="shared" si="1"/>
        <v>0.52</v>
      </c>
      <c r="M5" s="15">
        <f>_xlfn.XLOOKUP(F5,Menu_Lookup!$A$2:$A$11,Menu_Lookup!$C$2:$C$11,"NOT FOUND")</f>
        <v>0.48</v>
      </c>
      <c r="N5" s="19">
        <f t="shared" si="2"/>
        <v>1.2</v>
      </c>
      <c r="O5" s="7" t="s">
        <v>52</v>
      </c>
      <c r="P5" s="7" t="str">
        <f t="shared" si="3"/>
        <v>OK</v>
      </c>
      <c r="Q5" s="7" t="str">
        <f t="shared" si="4"/>
        <v>OK</v>
      </c>
      <c r="R5" s="7" t="str">
        <f t="shared" si="5"/>
        <v>OK</v>
      </c>
      <c r="S5" s="7" t="str">
        <f t="shared" si="6"/>
        <v>OK</v>
      </c>
      <c r="T5" s="7" t="str">
        <f t="shared" si="7"/>
        <v>OK</v>
      </c>
    </row>
    <row r="6" spans="1:20">
      <c r="A6" s="7" t="s">
        <v>63</v>
      </c>
      <c r="B6" s="8">
        <v>46256</v>
      </c>
      <c r="C6" s="7" t="s">
        <v>54</v>
      </c>
      <c r="D6" s="7" t="s">
        <v>59</v>
      </c>
      <c r="E6" s="7" t="s">
        <v>50</v>
      </c>
      <c r="F6" s="7" t="s">
        <v>51</v>
      </c>
      <c r="G6" s="7">
        <v>2</v>
      </c>
      <c r="H6" s="9">
        <v>5.5</v>
      </c>
      <c r="I6" s="9">
        <v>11</v>
      </c>
      <c r="J6" s="9">
        <v>7.44</v>
      </c>
      <c r="K6" s="9">
        <f t="shared" si="0"/>
        <v>3.5599999999999996</v>
      </c>
      <c r="L6" s="15">
        <f t="shared" si="1"/>
        <v>0.32363636363636361</v>
      </c>
      <c r="M6" s="15">
        <f>_xlfn.XLOOKUP(F6,Menu_Lookup!$A$2:$A$11,Menu_Lookup!$C$2:$C$11,"NOT FOUND")</f>
        <v>0.35</v>
      </c>
      <c r="N6" s="19">
        <f t="shared" si="2"/>
        <v>3.8499999999999996</v>
      </c>
      <c r="O6" s="7" t="s">
        <v>52</v>
      </c>
      <c r="P6" s="7" t="str">
        <f t="shared" si="3"/>
        <v>OK</v>
      </c>
      <c r="Q6" s="7" t="str">
        <f t="shared" si="4"/>
        <v>OK</v>
      </c>
      <c r="R6" s="7" t="str">
        <f t="shared" si="5"/>
        <v>OK</v>
      </c>
      <c r="S6" s="7" t="str">
        <f t="shared" si="6"/>
        <v>OK</v>
      </c>
      <c r="T6" s="7" t="str">
        <f t="shared" si="7"/>
        <v>OK</v>
      </c>
    </row>
    <row r="7" spans="1:20">
      <c r="A7" s="7" t="s">
        <v>66</v>
      </c>
      <c r="B7" s="8">
        <v>46286</v>
      </c>
      <c r="C7" s="7" t="s">
        <v>54</v>
      </c>
      <c r="D7" s="7" t="s">
        <v>49</v>
      </c>
      <c r="E7" s="7" t="s">
        <v>55</v>
      </c>
      <c r="F7" s="7" t="s">
        <v>96</v>
      </c>
      <c r="G7" s="7">
        <v>4</v>
      </c>
      <c r="H7" s="9">
        <v>4.5</v>
      </c>
      <c r="I7" s="9">
        <v>18</v>
      </c>
      <c r="J7" s="9">
        <v>12.81</v>
      </c>
      <c r="K7" s="9">
        <f t="shared" si="0"/>
        <v>5.1899999999999995</v>
      </c>
      <c r="L7" s="15">
        <f t="shared" si="1"/>
        <v>0.28833333333333333</v>
      </c>
      <c r="M7" s="15">
        <f>_xlfn.XLOOKUP(F7,Menu_Lookup!$A$2:$A$11,Menu_Lookup!$C$2:$C$11,"NOT FOUND")</f>
        <v>0.32</v>
      </c>
      <c r="N7" s="19">
        <f t="shared" si="2"/>
        <v>5.76</v>
      </c>
      <c r="O7" s="7" t="s">
        <v>52</v>
      </c>
      <c r="P7" s="7" t="str">
        <f t="shared" si="3"/>
        <v>OK</v>
      </c>
      <c r="Q7" s="7" t="str">
        <f t="shared" si="4"/>
        <v>OK</v>
      </c>
      <c r="R7" s="7" t="str">
        <f t="shared" si="5"/>
        <v>OK</v>
      </c>
      <c r="S7" s="7" t="str">
        <f t="shared" si="6"/>
        <v>OK</v>
      </c>
      <c r="T7" s="7" t="str">
        <f t="shared" si="7"/>
        <v>OK</v>
      </c>
    </row>
    <row r="8" spans="1:20">
      <c r="A8" s="7" t="s">
        <v>67</v>
      </c>
      <c r="B8" s="8">
        <v>46294</v>
      </c>
      <c r="C8" s="7" t="s">
        <v>54</v>
      </c>
      <c r="D8" s="7" t="s">
        <v>49</v>
      </c>
      <c r="E8" s="7" t="s">
        <v>68</v>
      </c>
      <c r="F8" s="7" t="s">
        <v>79</v>
      </c>
      <c r="G8" s="7">
        <v>3</v>
      </c>
      <c r="H8" s="9">
        <v>4</v>
      </c>
      <c r="I8" s="9">
        <v>12</v>
      </c>
      <c r="J8" s="9">
        <v>7.22</v>
      </c>
      <c r="K8" s="9">
        <f t="shared" si="0"/>
        <v>4.78</v>
      </c>
      <c r="L8" s="15">
        <f t="shared" si="1"/>
        <v>0.39833333333333337</v>
      </c>
      <c r="M8" s="15">
        <f>_xlfn.XLOOKUP(F8,Menu_Lookup!$A$2:$A$11,Menu_Lookup!$C$2:$C$11,"NOT FOUND")</f>
        <v>0.4</v>
      </c>
      <c r="N8" s="19">
        <f t="shared" si="2"/>
        <v>4.8000000000000007</v>
      </c>
      <c r="O8" s="7" t="s">
        <v>52</v>
      </c>
      <c r="P8" s="7" t="str">
        <f t="shared" si="3"/>
        <v>OK</v>
      </c>
      <c r="Q8" s="7" t="str">
        <f t="shared" si="4"/>
        <v>OK</v>
      </c>
      <c r="R8" s="7" t="str">
        <f t="shared" si="5"/>
        <v>OK</v>
      </c>
      <c r="S8" s="7" t="str">
        <f t="shared" si="6"/>
        <v>OK</v>
      </c>
      <c r="T8" s="7" t="str">
        <f t="shared" si="7"/>
        <v>OK</v>
      </c>
    </row>
    <row r="9" spans="1:20">
      <c r="A9" s="7" t="s">
        <v>69</v>
      </c>
      <c r="B9" s="8">
        <v>46292</v>
      </c>
      <c r="C9" s="7" t="s">
        <v>54</v>
      </c>
      <c r="D9" s="7" t="s">
        <v>49</v>
      </c>
      <c r="E9" s="7" t="s">
        <v>50</v>
      </c>
      <c r="F9" s="7" t="s">
        <v>85</v>
      </c>
      <c r="G9" s="7">
        <v>5</v>
      </c>
      <c r="H9" s="9">
        <v>5</v>
      </c>
      <c r="I9" s="9">
        <v>25</v>
      </c>
      <c r="J9" s="9">
        <v>16.489999999999998</v>
      </c>
      <c r="K9" s="9">
        <f t="shared" si="0"/>
        <v>8.5100000000000016</v>
      </c>
      <c r="L9" s="15">
        <f t="shared" si="1"/>
        <v>0.34040000000000004</v>
      </c>
      <c r="M9" s="15">
        <f>_xlfn.XLOOKUP(F9,Menu_Lookup!$A$2:$A$11,Menu_Lookup!$C$2:$C$11,"NOT FOUND")</f>
        <v>0.34</v>
      </c>
      <c r="N9" s="19">
        <f t="shared" si="2"/>
        <v>8.5</v>
      </c>
      <c r="O9" s="7" t="s">
        <v>60</v>
      </c>
      <c r="P9" s="7" t="str">
        <f t="shared" si="3"/>
        <v>OK</v>
      </c>
      <c r="Q9" s="7" t="str">
        <f t="shared" si="4"/>
        <v>OK</v>
      </c>
      <c r="R9" s="7" t="str">
        <f t="shared" si="5"/>
        <v>OK</v>
      </c>
      <c r="S9" s="7" t="str">
        <f t="shared" si="6"/>
        <v>OK</v>
      </c>
      <c r="T9" s="7" t="str">
        <f t="shared" si="7"/>
        <v>OK</v>
      </c>
    </row>
    <row r="10" spans="1:20">
      <c r="A10" s="7" t="s">
        <v>71</v>
      </c>
      <c r="B10" s="8">
        <v>46270</v>
      </c>
      <c r="C10" s="7" t="s">
        <v>54</v>
      </c>
      <c r="D10" s="7" t="s">
        <v>49</v>
      </c>
      <c r="E10" s="7" t="s">
        <v>55</v>
      </c>
      <c r="F10" s="7" t="s">
        <v>79</v>
      </c>
      <c r="G10" s="7">
        <v>5</v>
      </c>
      <c r="H10" s="9">
        <v>4</v>
      </c>
      <c r="I10" s="9">
        <v>20</v>
      </c>
      <c r="J10" s="9">
        <v>11.81</v>
      </c>
      <c r="K10" s="9">
        <f t="shared" si="0"/>
        <v>8.19</v>
      </c>
      <c r="L10" s="15">
        <f t="shared" si="1"/>
        <v>0.40949999999999998</v>
      </c>
      <c r="M10" s="15">
        <f>_xlfn.XLOOKUP(F10,Menu_Lookup!$A$2:$A$11,Menu_Lookup!$C$2:$C$11,"NOT FOUND")</f>
        <v>0.4</v>
      </c>
      <c r="N10" s="19">
        <f t="shared" si="2"/>
        <v>8</v>
      </c>
      <c r="O10" s="7" t="s">
        <v>52</v>
      </c>
      <c r="P10" s="7" t="str">
        <f t="shared" si="3"/>
        <v>OK</v>
      </c>
      <c r="Q10" s="7" t="str">
        <f t="shared" si="4"/>
        <v>OK</v>
      </c>
      <c r="R10" s="7" t="str">
        <f t="shared" si="5"/>
        <v>OK</v>
      </c>
      <c r="S10" s="7" t="str">
        <f t="shared" si="6"/>
        <v>OK</v>
      </c>
      <c r="T10" s="7" t="str">
        <f t="shared" si="7"/>
        <v>OK</v>
      </c>
    </row>
    <row r="11" spans="1:20">
      <c r="A11" s="7" t="s">
        <v>73</v>
      </c>
      <c r="B11" s="8">
        <v>46294</v>
      </c>
      <c r="C11" s="7" t="s">
        <v>54</v>
      </c>
      <c r="D11" s="7" t="s">
        <v>72</v>
      </c>
      <c r="E11" s="7" t="s">
        <v>68</v>
      </c>
      <c r="F11" s="7" t="s">
        <v>96</v>
      </c>
      <c r="G11" s="7">
        <v>3</v>
      </c>
      <c r="H11" s="9">
        <v>4.5</v>
      </c>
      <c r="I11" s="9">
        <v>13.5</v>
      </c>
      <c r="J11" s="9">
        <v>9.36</v>
      </c>
      <c r="K11" s="9">
        <f t="shared" si="0"/>
        <v>4.1400000000000006</v>
      </c>
      <c r="L11" s="15">
        <f t="shared" si="1"/>
        <v>0.3066666666666667</v>
      </c>
      <c r="M11" s="15">
        <f>_xlfn.XLOOKUP(F11,Menu_Lookup!$A$2:$A$11,Menu_Lookup!$C$2:$C$11,"NOT FOUND")</f>
        <v>0.32</v>
      </c>
      <c r="N11" s="19">
        <f t="shared" si="2"/>
        <v>4.32</v>
      </c>
      <c r="O11" s="7" t="s">
        <v>52</v>
      </c>
      <c r="P11" s="7" t="str">
        <f t="shared" si="3"/>
        <v>OK</v>
      </c>
      <c r="Q11" s="7" t="str">
        <f t="shared" si="4"/>
        <v>OK</v>
      </c>
      <c r="R11" s="7" t="str">
        <f t="shared" si="5"/>
        <v>OK</v>
      </c>
      <c r="S11" s="7" t="str">
        <f t="shared" si="6"/>
        <v>OK</v>
      </c>
      <c r="T11" s="7" t="str">
        <f t="shared" si="7"/>
        <v>OK</v>
      </c>
    </row>
    <row r="12" spans="1:20">
      <c r="A12" s="7" t="s">
        <v>74</v>
      </c>
      <c r="B12" s="8">
        <v>46270</v>
      </c>
      <c r="C12" s="7" t="s">
        <v>54</v>
      </c>
      <c r="D12" s="7" t="s">
        <v>72</v>
      </c>
      <c r="E12" s="7" t="s">
        <v>68</v>
      </c>
      <c r="F12" s="7" t="s">
        <v>70</v>
      </c>
      <c r="G12" s="7">
        <v>5</v>
      </c>
      <c r="H12" s="9">
        <v>2.5</v>
      </c>
      <c r="I12" s="9">
        <v>12.5</v>
      </c>
      <c r="J12" s="9">
        <v>6.13</v>
      </c>
      <c r="K12" s="9">
        <f t="shared" si="0"/>
        <v>6.37</v>
      </c>
      <c r="L12" s="15">
        <f t="shared" si="1"/>
        <v>0.50960000000000005</v>
      </c>
      <c r="M12" s="15">
        <f>_xlfn.XLOOKUP(F12,Menu_Lookup!$A$2:$A$11,Menu_Lookup!$C$2:$C$11,"NOT FOUND")</f>
        <v>0.48</v>
      </c>
      <c r="N12" s="19">
        <f t="shared" si="2"/>
        <v>6</v>
      </c>
      <c r="O12" s="7" t="s">
        <v>52</v>
      </c>
      <c r="P12" s="7" t="str">
        <f t="shared" si="3"/>
        <v>OK</v>
      </c>
      <c r="Q12" s="7" t="str">
        <f t="shared" si="4"/>
        <v>OK</v>
      </c>
      <c r="R12" s="7" t="str">
        <f t="shared" si="5"/>
        <v>OK</v>
      </c>
      <c r="S12" s="7" t="str">
        <f t="shared" si="6"/>
        <v>OK</v>
      </c>
      <c r="T12" s="7" t="str">
        <f t="shared" si="7"/>
        <v>OK</v>
      </c>
    </row>
    <row r="13" spans="1:20">
      <c r="A13" s="7" t="s">
        <v>76</v>
      </c>
      <c r="B13" s="8">
        <v>46250</v>
      </c>
      <c r="C13" s="7" t="s">
        <v>48</v>
      </c>
      <c r="D13" s="7" t="s">
        <v>49</v>
      </c>
      <c r="E13" s="7" t="s">
        <v>50</v>
      </c>
      <c r="F13" s="7" t="s">
        <v>51</v>
      </c>
      <c r="G13" s="7">
        <v>1</v>
      </c>
      <c r="H13" s="9">
        <v>5.5</v>
      </c>
      <c r="I13" s="9">
        <v>5.5</v>
      </c>
      <c r="J13" s="9">
        <v>3.86</v>
      </c>
      <c r="K13" s="9">
        <f t="shared" si="0"/>
        <v>1.6400000000000001</v>
      </c>
      <c r="L13" s="15">
        <f t="shared" si="1"/>
        <v>0.29818181818181821</v>
      </c>
      <c r="M13" s="15">
        <f>_xlfn.XLOOKUP(F13,Menu_Lookup!$A$2:$A$11,Menu_Lookup!$C$2:$C$11,"NOT FOUND")</f>
        <v>0.35</v>
      </c>
      <c r="N13" s="19">
        <f t="shared" si="2"/>
        <v>1.9249999999999998</v>
      </c>
      <c r="O13" s="7" t="s">
        <v>52</v>
      </c>
      <c r="P13" s="7" t="str">
        <f t="shared" si="3"/>
        <v>OK</v>
      </c>
      <c r="Q13" s="7" t="str">
        <f t="shared" si="4"/>
        <v>OK</v>
      </c>
      <c r="R13" s="7" t="str">
        <f t="shared" si="5"/>
        <v>OK</v>
      </c>
      <c r="S13" s="7" t="str">
        <f t="shared" si="6"/>
        <v>OK</v>
      </c>
      <c r="T13" s="7" t="str">
        <f t="shared" si="7"/>
        <v>OK</v>
      </c>
    </row>
    <row r="14" spans="1:20" s="29" customFormat="1">
      <c r="A14" s="26" t="s">
        <v>77</v>
      </c>
      <c r="B14" s="28">
        <v>46255</v>
      </c>
      <c r="C14" s="26" t="s">
        <v>48</v>
      </c>
      <c r="D14" s="26" t="s">
        <v>59</v>
      </c>
      <c r="E14" s="26" t="s">
        <v>68</v>
      </c>
      <c r="F14" s="26" t="s">
        <v>62</v>
      </c>
      <c r="G14" s="26">
        <v>5</v>
      </c>
      <c r="H14" s="24">
        <v>7</v>
      </c>
      <c r="I14" s="24">
        <v>35</v>
      </c>
      <c r="J14" s="24">
        <v>22.71</v>
      </c>
      <c r="K14" s="24">
        <f t="shared" si="0"/>
        <v>12.29</v>
      </c>
      <c r="L14" s="17">
        <f t="shared" si="1"/>
        <v>0.35114285714285715</v>
      </c>
      <c r="M14" s="17">
        <f>_xlfn.XLOOKUP(F14,Menu_Lookup!$A$2:$A$11,Menu_Lookup!$C$2:$C$11,"NOT FOUND")</f>
        <v>0.36</v>
      </c>
      <c r="N14" s="25">
        <f t="shared" si="2"/>
        <v>12.6</v>
      </c>
      <c r="O14" s="26" t="s">
        <v>60</v>
      </c>
      <c r="P14" s="26" t="str">
        <f t="shared" si="3"/>
        <v>OK</v>
      </c>
      <c r="Q14" s="26" t="str">
        <f t="shared" si="4"/>
        <v>OK</v>
      </c>
      <c r="R14" s="26" t="str">
        <f t="shared" si="5"/>
        <v>OK</v>
      </c>
      <c r="S14" s="26" t="str">
        <f t="shared" si="6"/>
        <v>OK</v>
      </c>
      <c r="T14" s="26" t="str">
        <f t="shared" si="7"/>
        <v>OK</v>
      </c>
    </row>
    <row r="15" spans="1:20">
      <c r="A15" s="7" t="s">
        <v>78</v>
      </c>
      <c r="B15" s="8">
        <v>46241</v>
      </c>
      <c r="C15" s="7" t="s">
        <v>48</v>
      </c>
      <c r="D15" s="7" t="s">
        <v>72</v>
      </c>
      <c r="E15" s="7" t="s">
        <v>68</v>
      </c>
      <c r="F15" s="7" t="s">
        <v>79</v>
      </c>
      <c r="G15" s="7">
        <v>4</v>
      </c>
      <c r="H15" s="9">
        <v>4</v>
      </c>
      <c r="I15" s="9">
        <v>16</v>
      </c>
      <c r="J15" s="9">
        <v>9.0299999999999994</v>
      </c>
      <c r="K15" s="9">
        <f t="shared" si="0"/>
        <v>6.9700000000000006</v>
      </c>
      <c r="L15" s="15">
        <f t="shared" si="1"/>
        <v>0.43562500000000004</v>
      </c>
      <c r="M15" s="15">
        <f>_xlfn.XLOOKUP(F15,Menu_Lookup!$A$2:$A$11,Menu_Lookup!$C$2:$C$11,"NOT FOUND")</f>
        <v>0.4</v>
      </c>
      <c r="N15" s="19">
        <f t="shared" si="2"/>
        <v>6.4</v>
      </c>
      <c r="O15" s="7" t="s">
        <v>60</v>
      </c>
      <c r="P15" s="7" t="str">
        <f t="shared" si="3"/>
        <v>OK</v>
      </c>
      <c r="Q15" s="7" t="str">
        <f t="shared" si="4"/>
        <v>OK</v>
      </c>
      <c r="R15" s="7" t="str">
        <f t="shared" si="5"/>
        <v>OK</v>
      </c>
      <c r="S15" s="7" t="str">
        <f t="shared" si="6"/>
        <v>OK</v>
      </c>
      <c r="T15" s="7" t="str">
        <f t="shared" si="7"/>
        <v>OK</v>
      </c>
    </row>
    <row r="16" spans="1:20">
      <c r="A16" s="7" t="s">
        <v>80</v>
      </c>
      <c r="B16" s="8">
        <v>46271</v>
      </c>
      <c r="C16" s="7" t="s">
        <v>48</v>
      </c>
      <c r="D16" s="7" t="s">
        <v>59</v>
      </c>
      <c r="E16" s="7" t="s">
        <v>50</v>
      </c>
      <c r="F16" s="7" t="s">
        <v>100</v>
      </c>
      <c r="G16" s="7">
        <v>1</v>
      </c>
      <c r="H16" s="9">
        <v>3.8</v>
      </c>
      <c r="I16" s="9">
        <v>3.8</v>
      </c>
      <c r="J16" s="9">
        <v>2.21</v>
      </c>
      <c r="K16" s="9">
        <f t="shared" si="0"/>
        <v>1.5899999999999999</v>
      </c>
      <c r="L16" s="15">
        <f t="shared" si="1"/>
        <v>0.41842105263157892</v>
      </c>
      <c r="M16" s="15">
        <f>_xlfn.XLOOKUP(F16,Menu_Lookup!$A$2:$A$11,Menu_Lookup!$C$2:$C$11,"NOT FOUND")</f>
        <v>0.42</v>
      </c>
      <c r="N16" s="19">
        <f t="shared" si="2"/>
        <v>1.5959999999999999</v>
      </c>
      <c r="O16" s="7" t="s">
        <v>52</v>
      </c>
      <c r="P16" s="7" t="str">
        <f t="shared" si="3"/>
        <v>OK</v>
      </c>
      <c r="Q16" s="7" t="str">
        <f t="shared" si="4"/>
        <v>OK</v>
      </c>
      <c r="R16" s="7" t="str">
        <f t="shared" si="5"/>
        <v>OK</v>
      </c>
      <c r="S16" s="7" t="str">
        <f t="shared" si="6"/>
        <v>OK</v>
      </c>
      <c r="T16" s="7" t="str">
        <f t="shared" si="7"/>
        <v>OK</v>
      </c>
    </row>
    <row r="17" spans="1:20">
      <c r="A17" s="7" t="s">
        <v>81</v>
      </c>
      <c r="B17" s="8">
        <v>46251</v>
      </c>
      <c r="C17" s="7" t="s">
        <v>48</v>
      </c>
      <c r="D17" s="7" t="s">
        <v>72</v>
      </c>
      <c r="E17" s="7" t="s">
        <v>55</v>
      </c>
      <c r="F17" s="7" t="s">
        <v>51</v>
      </c>
      <c r="G17" s="7">
        <v>5</v>
      </c>
      <c r="H17" s="9">
        <v>5.5</v>
      </c>
      <c r="I17" s="9">
        <v>27.5</v>
      </c>
      <c r="J17" s="9">
        <v>18.579999999999998</v>
      </c>
      <c r="K17" s="9">
        <f t="shared" si="0"/>
        <v>8.9200000000000017</v>
      </c>
      <c r="L17" s="15">
        <f t="shared" si="1"/>
        <v>0.32436363636363641</v>
      </c>
      <c r="M17" s="15">
        <f>_xlfn.XLOOKUP(F17,Menu_Lookup!$A$2:$A$11,Menu_Lookup!$C$2:$C$11,"NOT FOUND")</f>
        <v>0.35</v>
      </c>
      <c r="N17" s="19">
        <f t="shared" si="2"/>
        <v>9.625</v>
      </c>
      <c r="O17" s="7" t="s">
        <v>52</v>
      </c>
      <c r="P17" s="7" t="str">
        <f t="shared" si="3"/>
        <v>OK</v>
      </c>
      <c r="Q17" s="7" t="str">
        <f t="shared" si="4"/>
        <v>OK</v>
      </c>
      <c r="R17" s="7" t="str">
        <f t="shared" si="5"/>
        <v>OK</v>
      </c>
      <c r="S17" s="7" t="str">
        <f t="shared" si="6"/>
        <v>OK</v>
      </c>
      <c r="T17" s="7" t="str">
        <f t="shared" si="7"/>
        <v>OK</v>
      </c>
    </row>
    <row r="18" spans="1:20">
      <c r="A18" s="7" t="s">
        <v>82</v>
      </c>
      <c r="B18" s="8">
        <v>46241</v>
      </c>
      <c r="C18" s="7" t="s">
        <v>48</v>
      </c>
      <c r="D18" s="7" t="s">
        <v>72</v>
      </c>
      <c r="E18" s="7" t="s">
        <v>55</v>
      </c>
      <c r="F18" s="7" t="s">
        <v>56</v>
      </c>
      <c r="G18" s="7">
        <v>3</v>
      </c>
      <c r="H18" s="9">
        <v>1.2</v>
      </c>
      <c r="I18" s="9">
        <v>3.6</v>
      </c>
      <c r="J18" s="9">
        <v>1.52</v>
      </c>
      <c r="K18" s="9">
        <f t="shared" si="0"/>
        <v>2.08</v>
      </c>
      <c r="L18" s="15">
        <f t="shared" si="1"/>
        <v>0.57777777777777783</v>
      </c>
      <c r="M18" s="15">
        <f>_xlfn.XLOOKUP(F18,Menu_Lookup!$A$2:$A$11,Menu_Lookup!$C$2:$C$11,"NOT FOUND")</f>
        <v>0.55000000000000004</v>
      </c>
      <c r="N18" s="19">
        <f t="shared" si="2"/>
        <v>1.9800000000000002</v>
      </c>
      <c r="O18" s="7" t="s">
        <v>52</v>
      </c>
      <c r="P18" s="7" t="str">
        <f t="shared" si="3"/>
        <v>OK</v>
      </c>
      <c r="Q18" s="7" t="str">
        <f t="shared" si="4"/>
        <v>OK</v>
      </c>
      <c r="R18" s="7" t="str">
        <f t="shared" si="5"/>
        <v>OK</v>
      </c>
      <c r="S18" s="7" t="str">
        <f t="shared" si="6"/>
        <v>OK</v>
      </c>
      <c r="T18" s="7" t="str">
        <f t="shared" si="7"/>
        <v>OK</v>
      </c>
    </row>
    <row r="19" spans="1:20">
      <c r="A19" s="7" t="s">
        <v>83</v>
      </c>
      <c r="B19" s="8">
        <v>46273</v>
      </c>
      <c r="C19" s="7" t="s">
        <v>48</v>
      </c>
      <c r="D19" s="7" t="s">
        <v>59</v>
      </c>
      <c r="E19" s="7" t="s">
        <v>68</v>
      </c>
      <c r="F19" s="7" t="s">
        <v>56</v>
      </c>
      <c r="G19" s="7">
        <v>2</v>
      </c>
      <c r="H19" s="9">
        <v>1.2</v>
      </c>
      <c r="I19" s="9">
        <v>2.4</v>
      </c>
      <c r="J19" s="9">
        <v>0.93</v>
      </c>
      <c r="K19" s="9">
        <f t="shared" si="0"/>
        <v>1.4699999999999998</v>
      </c>
      <c r="L19" s="15">
        <f t="shared" si="1"/>
        <v>0.61249999999999993</v>
      </c>
      <c r="M19" s="15">
        <f>_xlfn.XLOOKUP(F19,Menu_Lookup!$A$2:$A$11,Menu_Lookup!$C$2:$C$11,"NOT FOUND")</f>
        <v>0.55000000000000004</v>
      </c>
      <c r="N19" s="19">
        <f t="shared" si="2"/>
        <v>1.32</v>
      </c>
      <c r="O19" s="7" t="s">
        <v>52</v>
      </c>
      <c r="P19" s="7" t="str">
        <f t="shared" si="3"/>
        <v>OK</v>
      </c>
      <c r="Q19" s="7" t="str">
        <f t="shared" si="4"/>
        <v>OK</v>
      </c>
      <c r="R19" s="7" t="str">
        <f t="shared" si="5"/>
        <v>OK</v>
      </c>
      <c r="S19" s="7" t="str">
        <f t="shared" si="6"/>
        <v>OK</v>
      </c>
      <c r="T19" s="7" t="str">
        <f t="shared" si="7"/>
        <v>OK</v>
      </c>
    </row>
    <row r="20" spans="1:20">
      <c r="A20" s="7" t="s">
        <v>84</v>
      </c>
      <c r="B20" s="8">
        <v>46284</v>
      </c>
      <c r="C20" s="7" t="s">
        <v>48</v>
      </c>
      <c r="D20" s="7" t="s">
        <v>59</v>
      </c>
      <c r="E20" s="7" t="s">
        <v>68</v>
      </c>
      <c r="F20" s="7" t="s">
        <v>85</v>
      </c>
      <c r="G20" s="7">
        <v>1</v>
      </c>
      <c r="H20" s="9">
        <v>5</v>
      </c>
      <c r="I20" s="9">
        <v>5</v>
      </c>
      <c r="J20" s="9">
        <v>3.18</v>
      </c>
      <c r="K20" s="9">
        <f t="shared" si="0"/>
        <v>1.8199999999999998</v>
      </c>
      <c r="L20" s="15">
        <f t="shared" si="1"/>
        <v>0.36399999999999999</v>
      </c>
      <c r="M20" s="15">
        <f>_xlfn.XLOOKUP(F20,Menu_Lookup!$A$2:$A$11,Menu_Lookup!$C$2:$C$11,"NOT FOUND")</f>
        <v>0.34</v>
      </c>
      <c r="N20" s="19">
        <f t="shared" si="2"/>
        <v>1.7000000000000002</v>
      </c>
      <c r="O20" s="7" t="s">
        <v>52</v>
      </c>
      <c r="P20" s="7" t="str">
        <f t="shared" si="3"/>
        <v>OK</v>
      </c>
      <c r="Q20" s="7" t="str">
        <f t="shared" si="4"/>
        <v>OK</v>
      </c>
      <c r="R20" s="7" t="str">
        <f t="shared" si="5"/>
        <v>OK</v>
      </c>
      <c r="S20" s="7" t="str">
        <f t="shared" si="6"/>
        <v>OK</v>
      </c>
      <c r="T20" s="7" t="str">
        <f t="shared" si="7"/>
        <v>OK</v>
      </c>
    </row>
    <row r="21" spans="1:20">
      <c r="A21" s="7" t="s">
        <v>86</v>
      </c>
      <c r="B21" s="8">
        <v>46286</v>
      </c>
      <c r="C21" s="7" t="s">
        <v>48</v>
      </c>
      <c r="D21" s="7" t="s">
        <v>72</v>
      </c>
      <c r="E21" s="7" t="s">
        <v>55</v>
      </c>
      <c r="F21" s="7" t="s">
        <v>62</v>
      </c>
      <c r="G21" s="7">
        <v>2</v>
      </c>
      <c r="H21" s="9">
        <v>7</v>
      </c>
      <c r="I21" s="9">
        <v>14</v>
      </c>
      <c r="J21" s="9">
        <v>9.15</v>
      </c>
      <c r="K21" s="9">
        <f t="shared" si="0"/>
        <v>4.8499999999999996</v>
      </c>
      <c r="L21" s="15">
        <f t="shared" si="1"/>
        <v>0.34642857142857142</v>
      </c>
      <c r="M21" s="15">
        <f>_xlfn.XLOOKUP(F21,Menu_Lookup!$A$2:$A$11,Menu_Lookup!$C$2:$C$11,"NOT FOUND")</f>
        <v>0.36</v>
      </c>
      <c r="N21" s="19">
        <f t="shared" si="2"/>
        <v>5.04</v>
      </c>
      <c r="O21" s="7" t="s">
        <v>52</v>
      </c>
      <c r="P21" s="7" t="str">
        <f t="shared" si="3"/>
        <v>OK</v>
      </c>
      <c r="Q21" s="7" t="str">
        <f t="shared" si="4"/>
        <v>OK</v>
      </c>
      <c r="R21" s="7" t="str">
        <f t="shared" si="5"/>
        <v>OK</v>
      </c>
      <c r="S21" s="7" t="str">
        <f t="shared" si="6"/>
        <v>OK</v>
      </c>
      <c r="T21" s="7" t="str">
        <f t="shared" si="7"/>
        <v>OK</v>
      </c>
    </row>
    <row r="22" spans="1:20">
      <c r="A22" s="7" t="s">
        <v>87</v>
      </c>
      <c r="B22" s="8">
        <v>46290</v>
      </c>
      <c r="C22" s="7" t="s">
        <v>48</v>
      </c>
      <c r="D22" s="7" t="s">
        <v>49</v>
      </c>
      <c r="E22" s="7" t="s">
        <v>55</v>
      </c>
      <c r="F22" s="7" t="s">
        <v>65</v>
      </c>
      <c r="G22" s="7">
        <v>3</v>
      </c>
      <c r="H22" s="9">
        <v>5.5</v>
      </c>
      <c r="I22" s="9">
        <v>16.5</v>
      </c>
      <c r="J22" s="9">
        <v>11.48</v>
      </c>
      <c r="K22" s="9">
        <f t="shared" si="0"/>
        <v>5.0199999999999996</v>
      </c>
      <c r="L22" s="15">
        <f t="shared" si="1"/>
        <v>0.3042424242424242</v>
      </c>
      <c r="M22" s="15">
        <f>_xlfn.XLOOKUP(F22,Menu_Lookup!$A$2:$A$11,Menu_Lookup!$C$2:$C$11,"NOT FOUND")</f>
        <v>0.33</v>
      </c>
      <c r="N22" s="19">
        <f t="shared" si="2"/>
        <v>5.4450000000000003</v>
      </c>
      <c r="O22" s="7" t="s">
        <v>52</v>
      </c>
      <c r="P22" s="7" t="str">
        <f t="shared" si="3"/>
        <v>OK</v>
      </c>
      <c r="Q22" s="7" t="str">
        <f t="shared" si="4"/>
        <v>OK</v>
      </c>
      <c r="R22" s="7" t="str">
        <f t="shared" si="5"/>
        <v>OK</v>
      </c>
      <c r="S22" s="7" t="str">
        <f t="shared" si="6"/>
        <v>OK</v>
      </c>
      <c r="T22" s="7" t="str">
        <f t="shared" si="7"/>
        <v>OK</v>
      </c>
    </row>
    <row r="23" spans="1:20">
      <c r="A23" s="7" t="s">
        <v>90</v>
      </c>
      <c r="B23" s="8">
        <v>46237</v>
      </c>
      <c r="C23" s="7" t="s">
        <v>48</v>
      </c>
      <c r="D23" s="7" t="s">
        <v>72</v>
      </c>
      <c r="E23" s="7" t="s">
        <v>50</v>
      </c>
      <c r="F23" s="7" t="s">
        <v>62</v>
      </c>
      <c r="G23" s="7">
        <v>2</v>
      </c>
      <c r="H23" s="9">
        <v>7</v>
      </c>
      <c r="I23" s="9">
        <v>14</v>
      </c>
      <c r="J23" s="9">
        <v>8.57</v>
      </c>
      <c r="K23" s="9">
        <f t="shared" si="0"/>
        <v>5.43</v>
      </c>
      <c r="L23" s="15">
        <f t="shared" si="1"/>
        <v>0.38785714285714284</v>
      </c>
      <c r="M23" s="15">
        <f>_xlfn.XLOOKUP(F23,Menu_Lookup!$A$2:$A$11,Menu_Lookup!$C$2:$C$11,"NOT FOUND")</f>
        <v>0.36</v>
      </c>
      <c r="N23" s="19">
        <f t="shared" si="2"/>
        <v>5.04</v>
      </c>
      <c r="O23" s="7" t="s">
        <v>52</v>
      </c>
      <c r="P23" s="7" t="str">
        <f t="shared" si="3"/>
        <v>OK</v>
      </c>
      <c r="Q23" s="7" t="str">
        <f t="shared" si="4"/>
        <v>OK</v>
      </c>
      <c r="R23" s="7" t="str">
        <f t="shared" si="5"/>
        <v>OK</v>
      </c>
      <c r="S23" s="7" t="str">
        <f t="shared" si="6"/>
        <v>OK</v>
      </c>
      <c r="T23" s="7" t="str">
        <f t="shared" si="7"/>
        <v>OK</v>
      </c>
    </row>
    <row r="24" spans="1:20">
      <c r="A24" s="7" t="s">
        <v>91</v>
      </c>
      <c r="B24" s="8">
        <v>46271</v>
      </c>
      <c r="C24" s="7" t="s">
        <v>48</v>
      </c>
      <c r="D24" s="7" t="s">
        <v>59</v>
      </c>
      <c r="E24" s="7" t="s">
        <v>50</v>
      </c>
      <c r="F24" s="7" t="s">
        <v>79</v>
      </c>
      <c r="G24" s="7">
        <v>4</v>
      </c>
      <c r="H24" s="9">
        <v>4</v>
      </c>
      <c r="I24" s="9">
        <v>16</v>
      </c>
      <c r="J24" s="9">
        <v>9.59</v>
      </c>
      <c r="K24" s="9">
        <f t="shared" si="0"/>
        <v>6.41</v>
      </c>
      <c r="L24" s="15">
        <f t="shared" si="1"/>
        <v>0.40062500000000001</v>
      </c>
      <c r="M24" s="15">
        <f>_xlfn.XLOOKUP(F24,Menu_Lookup!$A$2:$A$11,Menu_Lookup!$C$2:$C$11,"NOT FOUND")</f>
        <v>0.4</v>
      </c>
      <c r="N24" s="19">
        <f t="shared" si="2"/>
        <v>6.4</v>
      </c>
      <c r="O24" s="7" t="s">
        <v>60</v>
      </c>
      <c r="P24" s="7" t="str">
        <f t="shared" si="3"/>
        <v>OK</v>
      </c>
      <c r="Q24" s="7" t="str">
        <f t="shared" si="4"/>
        <v>OK</v>
      </c>
      <c r="R24" s="7" t="str">
        <f t="shared" si="5"/>
        <v>OK</v>
      </c>
      <c r="S24" s="7" t="str">
        <f t="shared" si="6"/>
        <v>OK</v>
      </c>
      <c r="T24" s="7" t="str">
        <f t="shared" si="7"/>
        <v>OK</v>
      </c>
    </row>
    <row r="25" spans="1:20">
      <c r="A25" s="7" t="s">
        <v>92</v>
      </c>
      <c r="B25" s="8">
        <v>46280</v>
      </c>
      <c r="C25" s="7" t="s">
        <v>48</v>
      </c>
      <c r="D25" s="7" t="s">
        <v>49</v>
      </c>
      <c r="E25" s="7" t="s">
        <v>68</v>
      </c>
      <c r="F25" s="7" t="s">
        <v>62</v>
      </c>
      <c r="G25" s="7">
        <v>4</v>
      </c>
      <c r="H25" s="9">
        <v>7</v>
      </c>
      <c r="I25" s="9">
        <v>28</v>
      </c>
      <c r="J25" s="9">
        <v>17.91</v>
      </c>
      <c r="K25" s="9">
        <f t="shared" si="0"/>
        <v>10.09</v>
      </c>
      <c r="L25" s="15">
        <f t="shared" si="1"/>
        <v>0.36035714285714288</v>
      </c>
      <c r="M25" s="15">
        <f>_xlfn.XLOOKUP(F25,Menu_Lookup!$A$2:$A$11,Menu_Lookup!$C$2:$C$11,"NOT FOUND")</f>
        <v>0.36</v>
      </c>
      <c r="N25" s="19">
        <f t="shared" si="2"/>
        <v>10.08</v>
      </c>
      <c r="O25" s="7" t="s">
        <v>60</v>
      </c>
      <c r="P25" s="7" t="str">
        <f t="shared" si="3"/>
        <v>OK</v>
      </c>
      <c r="Q25" s="7" t="str">
        <f t="shared" si="4"/>
        <v>OK</v>
      </c>
      <c r="R25" s="7" t="str">
        <f t="shared" si="5"/>
        <v>OK</v>
      </c>
      <c r="S25" s="7" t="str">
        <f t="shared" si="6"/>
        <v>OK</v>
      </c>
      <c r="T25" s="7" t="str">
        <f t="shared" si="7"/>
        <v>OK</v>
      </c>
    </row>
    <row r="26" spans="1:20">
      <c r="A26" s="7" t="s">
        <v>93</v>
      </c>
      <c r="B26" s="8">
        <v>46238</v>
      </c>
      <c r="C26" s="7" t="s">
        <v>48</v>
      </c>
      <c r="D26" s="7" t="s">
        <v>72</v>
      </c>
      <c r="E26" s="7" t="s">
        <v>68</v>
      </c>
      <c r="F26" s="7" t="s">
        <v>65</v>
      </c>
      <c r="G26" s="7">
        <v>5</v>
      </c>
      <c r="H26" s="9">
        <v>5.5</v>
      </c>
      <c r="I26" s="9">
        <v>27.5</v>
      </c>
      <c r="J26" s="9">
        <v>18.649999999999999</v>
      </c>
      <c r="K26" s="9">
        <f t="shared" si="0"/>
        <v>8.8500000000000014</v>
      </c>
      <c r="L26" s="15">
        <f t="shared" si="1"/>
        <v>0.32181818181818189</v>
      </c>
      <c r="M26" s="15">
        <f>_xlfn.XLOOKUP(F26,Menu_Lookup!$A$2:$A$11,Menu_Lookup!$C$2:$C$11,"NOT FOUND")</f>
        <v>0.33</v>
      </c>
      <c r="N26" s="19">
        <f t="shared" si="2"/>
        <v>9.0750000000000011</v>
      </c>
      <c r="O26" s="7" t="s">
        <v>52</v>
      </c>
      <c r="P26" s="7" t="str">
        <f t="shared" si="3"/>
        <v>OK</v>
      </c>
      <c r="Q26" s="7" t="str">
        <f t="shared" si="4"/>
        <v>OK</v>
      </c>
      <c r="R26" s="7" t="str">
        <f t="shared" si="5"/>
        <v>OK</v>
      </c>
      <c r="S26" s="7" t="str">
        <f t="shared" si="6"/>
        <v>OK</v>
      </c>
      <c r="T26" s="7" t="str">
        <f t="shared" si="7"/>
        <v>OK</v>
      </c>
    </row>
    <row r="27" spans="1:20">
      <c r="A27" s="7" t="s">
        <v>94</v>
      </c>
      <c r="B27" s="8">
        <v>46236</v>
      </c>
      <c r="C27" s="7" t="s">
        <v>48</v>
      </c>
      <c r="D27" s="7" t="s">
        <v>49</v>
      </c>
      <c r="E27" s="7" t="s">
        <v>55</v>
      </c>
      <c r="F27" s="7" t="s">
        <v>51</v>
      </c>
      <c r="G27" s="7">
        <v>6</v>
      </c>
      <c r="H27" s="9">
        <v>5.5</v>
      </c>
      <c r="I27" s="9">
        <v>33</v>
      </c>
      <c r="J27" s="9">
        <v>22.01</v>
      </c>
      <c r="K27" s="9">
        <f t="shared" si="0"/>
        <v>10.989999999999998</v>
      </c>
      <c r="L27" s="15">
        <f t="shared" si="1"/>
        <v>0.33303030303030301</v>
      </c>
      <c r="M27" s="15">
        <f>_xlfn.XLOOKUP(F27,Menu_Lookup!$A$2:$A$11,Menu_Lookup!$C$2:$C$11,"NOT FOUND")</f>
        <v>0.35</v>
      </c>
      <c r="N27" s="19">
        <f t="shared" si="2"/>
        <v>11.549999999999999</v>
      </c>
      <c r="O27" s="7" t="s">
        <v>52</v>
      </c>
      <c r="P27" s="7" t="str">
        <f t="shared" si="3"/>
        <v>OK</v>
      </c>
      <c r="Q27" s="7" t="str">
        <f t="shared" si="4"/>
        <v>OK</v>
      </c>
      <c r="R27" s="7" t="str">
        <f t="shared" si="5"/>
        <v>OK</v>
      </c>
      <c r="S27" s="7" t="str">
        <f t="shared" si="6"/>
        <v>OK</v>
      </c>
      <c r="T27" s="7" t="str">
        <f t="shared" si="7"/>
        <v>OK</v>
      </c>
    </row>
    <row r="28" spans="1:20" s="27" customFormat="1">
      <c r="A28" s="7" t="s">
        <v>95</v>
      </c>
      <c r="B28" s="8">
        <v>46269</v>
      </c>
      <c r="C28" s="7" t="s">
        <v>88</v>
      </c>
      <c r="D28" s="7" t="s">
        <v>49</v>
      </c>
      <c r="E28" s="7" t="s">
        <v>50</v>
      </c>
      <c r="F28" s="7" t="s">
        <v>89</v>
      </c>
      <c r="G28" s="7">
        <v>3</v>
      </c>
      <c r="H28" s="9">
        <v>6</v>
      </c>
      <c r="I28" s="9">
        <v>18</v>
      </c>
      <c r="J28" s="9">
        <v>11.04</v>
      </c>
      <c r="K28" s="9">
        <f t="shared" si="0"/>
        <v>6.9600000000000009</v>
      </c>
      <c r="L28" s="15">
        <f t="shared" si="1"/>
        <v>0.38666666666666671</v>
      </c>
      <c r="M28" s="15">
        <f>_xlfn.XLOOKUP(F28,Menu_Lookup!$A$2:$A$11,Menu_Lookup!$C$2:$C$11,"NOT FOUND")</f>
        <v>0.38</v>
      </c>
      <c r="N28" s="19">
        <f t="shared" si="2"/>
        <v>6.84</v>
      </c>
      <c r="O28" s="7" t="s">
        <v>60</v>
      </c>
      <c r="P28" s="7" t="str">
        <f t="shared" si="3"/>
        <v>OK</v>
      </c>
      <c r="Q28" s="7" t="str">
        <f t="shared" si="4"/>
        <v>OK</v>
      </c>
      <c r="R28" s="7" t="str">
        <f t="shared" si="5"/>
        <v>OK</v>
      </c>
      <c r="S28" s="7" t="str">
        <f t="shared" si="6"/>
        <v>OK</v>
      </c>
      <c r="T28" s="7" t="str">
        <f t="shared" si="7"/>
        <v>OK</v>
      </c>
    </row>
    <row r="29" spans="1:20">
      <c r="A29" s="7" t="s">
        <v>97</v>
      </c>
      <c r="B29" s="8">
        <v>46268</v>
      </c>
      <c r="C29" s="7" t="s">
        <v>88</v>
      </c>
      <c r="D29" s="7" t="s">
        <v>72</v>
      </c>
      <c r="E29" s="7" t="s">
        <v>55</v>
      </c>
      <c r="F29" s="7" t="s">
        <v>79</v>
      </c>
      <c r="G29" s="7">
        <v>5</v>
      </c>
      <c r="H29" s="9">
        <v>4</v>
      </c>
      <c r="I29" s="9">
        <v>20</v>
      </c>
      <c r="J29" s="9">
        <v>11.27</v>
      </c>
      <c r="K29" s="9">
        <f t="shared" si="0"/>
        <v>8.73</v>
      </c>
      <c r="L29" s="15">
        <f t="shared" si="1"/>
        <v>0.4365</v>
      </c>
      <c r="M29" s="15">
        <f>_xlfn.XLOOKUP(F29,Menu_Lookup!$A$2:$A$11,Menu_Lookup!$C$2:$C$11,"NOT FOUND")</f>
        <v>0.4</v>
      </c>
      <c r="N29" s="19">
        <f t="shared" si="2"/>
        <v>8</v>
      </c>
      <c r="O29" s="7" t="s">
        <v>52</v>
      </c>
      <c r="P29" s="7" t="str">
        <f t="shared" si="3"/>
        <v>OK</v>
      </c>
      <c r="Q29" s="7" t="str">
        <f t="shared" si="4"/>
        <v>OK</v>
      </c>
      <c r="R29" s="7" t="str">
        <f t="shared" si="5"/>
        <v>OK</v>
      </c>
      <c r="S29" s="7" t="str">
        <f t="shared" si="6"/>
        <v>OK</v>
      </c>
      <c r="T29" s="7" t="str">
        <f t="shared" si="7"/>
        <v>OK</v>
      </c>
    </row>
    <row r="30" spans="1:20">
      <c r="A30" s="7" t="s">
        <v>98</v>
      </c>
      <c r="B30" s="8">
        <v>46291</v>
      </c>
      <c r="C30" s="7" t="s">
        <v>88</v>
      </c>
      <c r="D30" s="7" t="s">
        <v>59</v>
      </c>
      <c r="E30" s="7" t="s">
        <v>68</v>
      </c>
      <c r="F30" s="7" t="s">
        <v>56</v>
      </c>
      <c r="G30" s="7">
        <v>2</v>
      </c>
      <c r="H30" s="9">
        <v>1.2</v>
      </c>
      <c r="I30" s="9">
        <v>2.4</v>
      </c>
      <c r="J30" s="9">
        <v>0.99</v>
      </c>
      <c r="K30" s="9">
        <f t="shared" si="0"/>
        <v>1.41</v>
      </c>
      <c r="L30" s="15">
        <f t="shared" si="1"/>
        <v>0.58750000000000002</v>
      </c>
      <c r="M30" s="15">
        <f>_xlfn.XLOOKUP(F30,Menu_Lookup!$A$2:$A$11,Menu_Lookup!$C$2:$C$11,"NOT FOUND")</f>
        <v>0.55000000000000004</v>
      </c>
      <c r="N30" s="19">
        <f t="shared" si="2"/>
        <v>1.32</v>
      </c>
      <c r="O30" s="7" t="s">
        <v>52</v>
      </c>
      <c r="P30" s="7" t="str">
        <f t="shared" si="3"/>
        <v>OK</v>
      </c>
      <c r="Q30" s="7" t="str">
        <f t="shared" si="4"/>
        <v>OK</v>
      </c>
      <c r="R30" s="7" t="str">
        <f t="shared" si="5"/>
        <v>OK</v>
      </c>
      <c r="S30" s="7" t="str">
        <f t="shared" si="6"/>
        <v>OK</v>
      </c>
      <c r="T30" s="7" t="str">
        <f t="shared" si="7"/>
        <v>OK</v>
      </c>
    </row>
    <row r="31" spans="1:20">
      <c r="A31" s="7" t="s">
        <v>99</v>
      </c>
      <c r="B31" s="8">
        <v>46276</v>
      </c>
      <c r="C31" s="7" t="s">
        <v>88</v>
      </c>
      <c r="D31" s="7" t="s">
        <v>49</v>
      </c>
      <c r="E31" s="7" t="s">
        <v>55</v>
      </c>
      <c r="F31" s="7" t="s">
        <v>79</v>
      </c>
      <c r="G31" s="7">
        <v>5</v>
      </c>
      <c r="H31" s="9">
        <v>4</v>
      </c>
      <c r="I31" s="9">
        <v>20</v>
      </c>
      <c r="J31" s="9">
        <v>11.2</v>
      </c>
      <c r="K31" s="9">
        <f t="shared" si="0"/>
        <v>8.8000000000000007</v>
      </c>
      <c r="L31" s="15">
        <f t="shared" si="1"/>
        <v>0.44000000000000006</v>
      </c>
      <c r="M31" s="15">
        <f>_xlfn.XLOOKUP(F31,Menu_Lookup!$A$2:$A$11,Menu_Lookup!$C$2:$C$11,"NOT FOUND")</f>
        <v>0.4</v>
      </c>
      <c r="N31" s="19">
        <f t="shared" si="2"/>
        <v>8</v>
      </c>
      <c r="O31" s="7" t="s">
        <v>52</v>
      </c>
      <c r="P31" s="7" t="str">
        <f t="shared" si="3"/>
        <v>OK</v>
      </c>
      <c r="Q31" s="7" t="str">
        <f t="shared" si="4"/>
        <v>OK</v>
      </c>
      <c r="R31" s="7" t="str">
        <f t="shared" si="5"/>
        <v>OK</v>
      </c>
      <c r="S31" s="7" t="str">
        <f t="shared" si="6"/>
        <v>OK</v>
      </c>
      <c r="T31" s="7" t="str">
        <f t="shared" si="7"/>
        <v>OK</v>
      </c>
    </row>
    <row r="32" spans="1:20">
      <c r="A32" s="7" t="s">
        <v>101</v>
      </c>
      <c r="B32" s="8">
        <v>46238</v>
      </c>
      <c r="C32" s="7" t="s">
        <v>88</v>
      </c>
      <c r="D32" s="7" t="s">
        <v>59</v>
      </c>
      <c r="E32" s="7" t="s">
        <v>50</v>
      </c>
      <c r="F32" s="7" t="s">
        <v>89</v>
      </c>
      <c r="G32" s="7">
        <v>2</v>
      </c>
      <c r="H32" s="9">
        <v>6</v>
      </c>
      <c r="I32" s="9">
        <v>12</v>
      </c>
      <c r="J32" s="9">
        <v>7.08</v>
      </c>
      <c r="K32" s="9">
        <f t="shared" si="0"/>
        <v>4.92</v>
      </c>
      <c r="L32" s="15">
        <f t="shared" si="1"/>
        <v>0.41</v>
      </c>
      <c r="M32" s="15">
        <f>_xlfn.XLOOKUP(F32,Menu_Lookup!$A$2:$A$11,Menu_Lookup!$C$2:$C$11,"NOT FOUND")</f>
        <v>0.38</v>
      </c>
      <c r="N32" s="19">
        <f t="shared" si="2"/>
        <v>4.5600000000000005</v>
      </c>
      <c r="O32" s="7" t="s">
        <v>52</v>
      </c>
      <c r="P32" s="7" t="str">
        <f t="shared" si="3"/>
        <v>OK</v>
      </c>
      <c r="Q32" s="7" t="str">
        <f t="shared" si="4"/>
        <v>OK</v>
      </c>
      <c r="R32" s="7" t="str">
        <f t="shared" si="5"/>
        <v>OK</v>
      </c>
      <c r="S32" s="7" t="str">
        <f t="shared" si="6"/>
        <v>OK</v>
      </c>
      <c r="T32" s="7" t="str">
        <f t="shared" si="7"/>
        <v>OK</v>
      </c>
    </row>
    <row r="33" spans="1:20">
      <c r="A33" s="7" t="s">
        <v>102</v>
      </c>
      <c r="B33" s="8">
        <v>46265</v>
      </c>
      <c r="C33" s="7" t="s">
        <v>88</v>
      </c>
      <c r="D33" s="7" t="s">
        <v>59</v>
      </c>
      <c r="E33" s="7" t="s">
        <v>55</v>
      </c>
      <c r="F33" s="7" t="s">
        <v>65</v>
      </c>
      <c r="G33" s="7">
        <v>1</v>
      </c>
      <c r="H33" s="9">
        <v>5.5</v>
      </c>
      <c r="I33" s="9">
        <v>5.5</v>
      </c>
      <c r="J33" s="9">
        <v>3.62</v>
      </c>
      <c r="K33" s="9">
        <f t="shared" ref="K33:K64" si="8">I33-J33</f>
        <v>1.88</v>
      </c>
      <c r="L33" s="15">
        <f t="shared" si="1"/>
        <v>0.3418181818181818</v>
      </c>
      <c r="M33" s="15">
        <f>_xlfn.XLOOKUP(F33,Menu_Lookup!$A$2:$A$11,Menu_Lookup!$C$2:$C$11,"NOT FOUND")</f>
        <v>0.33</v>
      </c>
      <c r="N33" s="19">
        <f t="shared" ref="N33:N64" si="9">I33*M33</f>
        <v>1.8150000000000002</v>
      </c>
      <c r="O33" s="7" t="s">
        <v>52</v>
      </c>
      <c r="P33" s="7" t="str">
        <f t="shared" ref="P33:P64" si="10">IF(OR(C33&lt;&gt;TRIM(C33),D33&lt;&gt;TRIM(D33),E33&lt;&gt;TRIM(E33),F33&lt;&gt;TRIM(F33),O33&lt;&gt;TRIM(O33)),"CHECK","OK")</f>
        <v>OK</v>
      </c>
      <c r="Q33" s="7" t="str">
        <f t="shared" ref="Q33:Q64" si="11">IF(OR(NOT(EXACT(C33,PROPER(C33))),NOT(EXACT(D33,PROPER(D33))),AND(E33&lt;&gt;"",NOT(OR(EXACT(E33,"Dine-in"),EXACT(E33,"Delivery"),EXACT(E33,"Takeaway")))),NOT(EXACT(F33,PROPER(F33))),NOT(EXACT(O33,PROPER(O33)))),"CHECK","OK")</f>
        <v>OK</v>
      </c>
      <c r="R33" s="7" t="str">
        <f t="shared" ref="R33:R64" si="12">IF(COUNTBLANK(A33:O33)&gt;0,"CHECK","OK")</f>
        <v>OK</v>
      </c>
      <c r="S33" s="7" t="str">
        <f t="shared" ref="S33:S64" si="13">IF(AND(ISNUMBER(B33),ISNUMBER(G33),ISNUMBER(H33),ISNUMBER(I33),ISNUMBER(J33)),"OK","CHECK")</f>
        <v>OK</v>
      </c>
      <c r="T33" s="7" t="str">
        <f t="shared" si="7"/>
        <v>OK</v>
      </c>
    </row>
    <row r="34" spans="1:20">
      <c r="A34" s="7" t="s">
        <v>103</v>
      </c>
      <c r="B34" s="8">
        <v>46239</v>
      </c>
      <c r="C34" s="7" t="s">
        <v>88</v>
      </c>
      <c r="D34" s="7" t="s">
        <v>49</v>
      </c>
      <c r="E34" s="7" t="s">
        <v>50</v>
      </c>
      <c r="F34" s="7" t="s">
        <v>56</v>
      </c>
      <c r="G34" s="7">
        <v>1</v>
      </c>
      <c r="H34" s="9">
        <v>1.2</v>
      </c>
      <c r="I34" s="9">
        <v>1.2</v>
      </c>
      <c r="J34" s="9">
        <v>0.5</v>
      </c>
      <c r="K34" s="9">
        <f t="shared" si="8"/>
        <v>0.7</v>
      </c>
      <c r="L34" s="15">
        <f t="shared" si="1"/>
        <v>0.58333333333333337</v>
      </c>
      <c r="M34" s="15">
        <f>_xlfn.XLOOKUP(F34,Menu_Lookup!$A$2:$A$11,Menu_Lookup!$C$2:$C$11,"NOT FOUND")</f>
        <v>0.55000000000000004</v>
      </c>
      <c r="N34" s="19">
        <f t="shared" si="9"/>
        <v>0.66</v>
      </c>
      <c r="O34" s="7" t="s">
        <v>52</v>
      </c>
      <c r="P34" s="7" t="str">
        <f t="shared" si="10"/>
        <v>OK</v>
      </c>
      <c r="Q34" s="7" t="str">
        <f t="shared" si="11"/>
        <v>OK</v>
      </c>
      <c r="R34" s="7" t="str">
        <f t="shared" si="12"/>
        <v>OK</v>
      </c>
      <c r="S34" s="7" t="str">
        <f t="shared" si="13"/>
        <v>OK</v>
      </c>
      <c r="T34" s="7" t="str">
        <f t="shared" ref="T34:T65" si="14">IF(COUNTIFS($B$2:$B$91,B34,$C$2:$C$91,C34,$D$2:$D$91,D34,$E$2:$E$91,E34,$F$2:$F$91,F34,$G$2:$G$91,G34,$H$2:$H$91,H34,$I$2:$I$91,I34,$J$2:$J$91,J34,$K$2:$K$91,K34)&gt;1,"CHECK","OK")</f>
        <v>OK</v>
      </c>
    </row>
    <row r="35" spans="1:20">
      <c r="A35" s="7" t="s">
        <v>104</v>
      </c>
      <c r="B35" s="8">
        <v>46272</v>
      </c>
      <c r="C35" s="7" t="s">
        <v>88</v>
      </c>
      <c r="D35" s="7" t="s">
        <v>59</v>
      </c>
      <c r="E35" s="7" t="s">
        <v>68</v>
      </c>
      <c r="F35" s="7" t="s">
        <v>70</v>
      </c>
      <c r="G35" s="7">
        <v>1</v>
      </c>
      <c r="H35" s="9">
        <v>2.5</v>
      </c>
      <c r="I35" s="9">
        <v>2.5</v>
      </c>
      <c r="J35" s="9">
        <v>1.24</v>
      </c>
      <c r="K35" s="9">
        <f t="shared" si="8"/>
        <v>1.26</v>
      </c>
      <c r="L35" s="15">
        <f t="shared" si="1"/>
        <v>0.504</v>
      </c>
      <c r="M35" s="15">
        <f>_xlfn.XLOOKUP(F35,Menu_Lookup!$A$2:$A$11,Menu_Lookup!$C$2:$C$11,"NOT FOUND")</f>
        <v>0.48</v>
      </c>
      <c r="N35" s="19">
        <f t="shared" si="9"/>
        <v>1.2</v>
      </c>
      <c r="O35" s="7" t="s">
        <v>60</v>
      </c>
      <c r="P35" s="7" t="str">
        <f t="shared" si="10"/>
        <v>OK</v>
      </c>
      <c r="Q35" s="7" t="str">
        <f t="shared" si="11"/>
        <v>OK</v>
      </c>
      <c r="R35" s="7" t="str">
        <f t="shared" si="12"/>
        <v>OK</v>
      </c>
      <c r="S35" s="7" t="str">
        <f t="shared" si="13"/>
        <v>OK</v>
      </c>
      <c r="T35" s="7" t="str">
        <f t="shared" si="14"/>
        <v>OK</v>
      </c>
    </row>
    <row r="36" spans="1:20">
      <c r="A36" s="7" t="s">
        <v>105</v>
      </c>
      <c r="B36" s="8">
        <v>46288</v>
      </c>
      <c r="C36" s="7" t="s">
        <v>88</v>
      </c>
      <c r="D36" s="7" t="s">
        <v>59</v>
      </c>
      <c r="E36" s="7" t="s">
        <v>68</v>
      </c>
      <c r="F36" s="7" t="s">
        <v>79</v>
      </c>
      <c r="G36" s="7">
        <v>3</v>
      </c>
      <c r="H36" s="9">
        <v>5.5</v>
      </c>
      <c r="I36" s="9">
        <v>16.5</v>
      </c>
      <c r="J36" s="9">
        <v>10.94</v>
      </c>
      <c r="K36" s="9">
        <f t="shared" si="8"/>
        <v>5.5600000000000005</v>
      </c>
      <c r="L36" s="15">
        <f t="shared" si="1"/>
        <v>0.33696969696969697</v>
      </c>
      <c r="M36" s="15">
        <f>_xlfn.XLOOKUP(F36,Menu_Lookup!$A$2:$A$11,Menu_Lookup!$C$2:$C$11,"NOT FOUND")</f>
        <v>0.4</v>
      </c>
      <c r="N36" s="19">
        <f t="shared" si="9"/>
        <v>6.6000000000000005</v>
      </c>
      <c r="O36" s="7" t="s">
        <v>52</v>
      </c>
      <c r="P36" s="7" t="str">
        <f t="shared" si="10"/>
        <v>OK</v>
      </c>
      <c r="Q36" s="7" t="str">
        <f t="shared" si="11"/>
        <v>OK</v>
      </c>
      <c r="R36" s="7" t="str">
        <f t="shared" si="12"/>
        <v>OK</v>
      </c>
      <c r="S36" s="7" t="str">
        <f t="shared" si="13"/>
        <v>OK</v>
      </c>
      <c r="T36" s="7" t="str">
        <f t="shared" si="14"/>
        <v>OK</v>
      </c>
    </row>
    <row r="37" spans="1:20">
      <c r="A37" s="7" t="s">
        <v>106</v>
      </c>
      <c r="B37" s="8">
        <v>46272</v>
      </c>
      <c r="C37" s="7" t="s">
        <v>88</v>
      </c>
      <c r="D37" s="7" t="s">
        <v>49</v>
      </c>
      <c r="E37" s="7" t="s">
        <v>68</v>
      </c>
      <c r="F37" s="7" t="s">
        <v>56</v>
      </c>
      <c r="G37" s="7">
        <v>1</v>
      </c>
      <c r="H37" s="9">
        <v>1.2</v>
      </c>
      <c r="I37" s="9">
        <v>1.2</v>
      </c>
      <c r="J37" s="9">
        <v>0.5</v>
      </c>
      <c r="K37" s="9">
        <f t="shared" si="8"/>
        <v>0.7</v>
      </c>
      <c r="L37" s="15">
        <f t="shared" si="1"/>
        <v>0.58333333333333337</v>
      </c>
      <c r="M37" s="15">
        <f>_xlfn.XLOOKUP(F37,Menu_Lookup!$A$2:$A$11,Menu_Lookup!$C$2:$C$11,"NOT FOUND")</f>
        <v>0.55000000000000004</v>
      </c>
      <c r="N37" s="19">
        <f t="shared" si="9"/>
        <v>0.66</v>
      </c>
      <c r="O37" s="7" t="s">
        <v>52</v>
      </c>
      <c r="P37" s="7" t="str">
        <f t="shared" si="10"/>
        <v>OK</v>
      </c>
      <c r="Q37" s="7" t="str">
        <f t="shared" si="11"/>
        <v>OK</v>
      </c>
      <c r="R37" s="7" t="str">
        <f t="shared" si="12"/>
        <v>OK</v>
      </c>
      <c r="S37" s="7" t="str">
        <f t="shared" si="13"/>
        <v>OK</v>
      </c>
      <c r="T37" s="7" t="str">
        <f t="shared" si="14"/>
        <v>OK</v>
      </c>
    </row>
    <row r="38" spans="1:20">
      <c r="A38" s="7" t="s">
        <v>107</v>
      </c>
      <c r="B38" s="8">
        <v>46279</v>
      </c>
      <c r="C38" s="7" t="s">
        <v>88</v>
      </c>
      <c r="D38" s="7" t="s">
        <v>72</v>
      </c>
      <c r="E38" s="7" t="s">
        <v>55</v>
      </c>
      <c r="F38" s="7" t="s">
        <v>62</v>
      </c>
      <c r="G38" s="7">
        <v>2</v>
      </c>
      <c r="H38" s="9">
        <v>7</v>
      </c>
      <c r="I38" s="9">
        <v>14</v>
      </c>
      <c r="J38" s="9">
        <v>9.0299999999999994</v>
      </c>
      <c r="K38" s="9">
        <f t="shared" si="8"/>
        <v>4.9700000000000006</v>
      </c>
      <c r="L38" s="15">
        <f t="shared" si="1"/>
        <v>0.35500000000000004</v>
      </c>
      <c r="M38" s="15">
        <f>_xlfn.XLOOKUP(F38,Menu_Lookup!$A$2:$A$11,Menu_Lookup!$C$2:$C$11,"NOT FOUND")</f>
        <v>0.36</v>
      </c>
      <c r="N38" s="19">
        <f t="shared" si="9"/>
        <v>5.04</v>
      </c>
      <c r="O38" s="7" t="s">
        <v>52</v>
      </c>
      <c r="P38" s="7" t="str">
        <f t="shared" si="10"/>
        <v>OK</v>
      </c>
      <c r="Q38" s="7" t="str">
        <f t="shared" si="11"/>
        <v>OK</v>
      </c>
      <c r="R38" s="7" t="str">
        <f t="shared" si="12"/>
        <v>OK</v>
      </c>
      <c r="S38" s="7" t="str">
        <f t="shared" si="13"/>
        <v>OK</v>
      </c>
      <c r="T38" s="7" t="str">
        <f t="shared" si="14"/>
        <v>OK</v>
      </c>
    </row>
    <row r="39" spans="1:20">
      <c r="A39" s="7" t="s">
        <v>108</v>
      </c>
      <c r="B39" s="8">
        <v>46292</v>
      </c>
      <c r="C39" s="7" t="s">
        <v>88</v>
      </c>
      <c r="D39" s="7" t="s">
        <v>72</v>
      </c>
      <c r="E39" s="7" t="s">
        <v>50</v>
      </c>
      <c r="F39" s="7" t="s">
        <v>79</v>
      </c>
      <c r="G39" s="7">
        <v>5</v>
      </c>
      <c r="H39" s="9">
        <v>4</v>
      </c>
      <c r="I39" s="9">
        <v>20</v>
      </c>
      <c r="J39" s="9">
        <v>11.92</v>
      </c>
      <c r="K39" s="9">
        <f t="shared" si="8"/>
        <v>8.08</v>
      </c>
      <c r="L39" s="15">
        <f t="shared" si="1"/>
        <v>0.40400000000000003</v>
      </c>
      <c r="M39" s="15">
        <f>_xlfn.XLOOKUP(F39,Menu_Lookup!$A$2:$A$11,Menu_Lookup!$C$2:$C$11,"NOT FOUND")</f>
        <v>0.4</v>
      </c>
      <c r="N39" s="19">
        <f t="shared" si="9"/>
        <v>8</v>
      </c>
      <c r="O39" s="7" t="s">
        <v>60</v>
      </c>
      <c r="P39" s="7" t="str">
        <f t="shared" si="10"/>
        <v>OK</v>
      </c>
      <c r="Q39" s="7" t="str">
        <f t="shared" si="11"/>
        <v>OK</v>
      </c>
      <c r="R39" s="7" t="str">
        <f t="shared" si="12"/>
        <v>OK</v>
      </c>
      <c r="S39" s="7" t="str">
        <f t="shared" si="13"/>
        <v>OK</v>
      </c>
      <c r="T39" s="7" t="str">
        <f t="shared" si="14"/>
        <v>OK</v>
      </c>
    </row>
    <row r="40" spans="1:20">
      <c r="A40" s="7" t="s">
        <v>109</v>
      </c>
      <c r="B40" s="8">
        <v>46292</v>
      </c>
      <c r="C40" s="7" t="s">
        <v>88</v>
      </c>
      <c r="D40" s="7" t="s">
        <v>49</v>
      </c>
      <c r="E40" s="7" t="s">
        <v>55</v>
      </c>
      <c r="F40" s="7" t="s">
        <v>62</v>
      </c>
      <c r="G40" s="7">
        <v>3</v>
      </c>
      <c r="H40" s="9">
        <v>7</v>
      </c>
      <c r="I40" s="9">
        <v>21</v>
      </c>
      <c r="J40" s="9">
        <v>13.06</v>
      </c>
      <c r="K40" s="9">
        <f t="shared" si="8"/>
        <v>7.9399999999999995</v>
      </c>
      <c r="L40" s="15">
        <f t="shared" si="1"/>
        <v>0.3780952380952381</v>
      </c>
      <c r="M40" s="15">
        <f>_xlfn.XLOOKUP(F40,Menu_Lookup!$A$2:$A$11,Menu_Lookup!$C$2:$C$11,"NOT FOUND")</f>
        <v>0.36</v>
      </c>
      <c r="N40" s="19">
        <f t="shared" si="9"/>
        <v>7.56</v>
      </c>
      <c r="O40" s="7" t="s">
        <v>52</v>
      </c>
      <c r="P40" s="7" t="str">
        <f t="shared" si="10"/>
        <v>OK</v>
      </c>
      <c r="Q40" s="7" t="str">
        <f t="shared" si="11"/>
        <v>OK</v>
      </c>
      <c r="R40" s="7" t="str">
        <f t="shared" si="12"/>
        <v>OK</v>
      </c>
      <c r="S40" s="7" t="str">
        <f t="shared" si="13"/>
        <v>OK</v>
      </c>
      <c r="T40" s="7" t="str">
        <f t="shared" si="14"/>
        <v>OK</v>
      </c>
    </row>
    <row r="41" spans="1:20">
      <c r="A41" s="7" t="s">
        <v>110</v>
      </c>
      <c r="B41" s="8">
        <v>46286</v>
      </c>
      <c r="C41" s="7" t="s">
        <v>88</v>
      </c>
      <c r="D41" s="7" t="s">
        <v>49</v>
      </c>
      <c r="E41" s="7" t="s">
        <v>68</v>
      </c>
      <c r="F41" s="7" t="s">
        <v>56</v>
      </c>
      <c r="G41" s="7">
        <v>6</v>
      </c>
      <c r="H41" s="9">
        <v>1.2</v>
      </c>
      <c r="I41" s="9">
        <v>7.2</v>
      </c>
      <c r="J41" s="9">
        <v>2.96</v>
      </c>
      <c r="K41" s="9">
        <f t="shared" si="8"/>
        <v>4.24</v>
      </c>
      <c r="L41" s="15">
        <f t="shared" si="1"/>
        <v>0.58888888888888891</v>
      </c>
      <c r="M41" s="15">
        <f>_xlfn.XLOOKUP(F41,Menu_Lookup!$A$2:$A$11,Menu_Lookup!$C$2:$C$11,"NOT FOUND")</f>
        <v>0.55000000000000004</v>
      </c>
      <c r="N41" s="19">
        <f t="shared" si="9"/>
        <v>3.9600000000000004</v>
      </c>
      <c r="O41" s="7" t="s">
        <v>52</v>
      </c>
      <c r="P41" s="7" t="str">
        <f t="shared" si="10"/>
        <v>OK</v>
      </c>
      <c r="Q41" s="7" t="str">
        <f t="shared" si="11"/>
        <v>OK</v>
      </c>
      <c r="R41" s="7" t="str">
        <f t="shared" si="12"/>
        <v>OK</v>
      </c>
      <c r="S41" s="7" t="str">
        <f t="shared" si="13"/>
        <v>OK</v>
      </c>
      <c r="T41" s="7" t="str">
        <f t="shared" si="14"/>
        <v>OK</v>
      </c>
    </row>
    <row r="42" spans="1:20">
      <c r="A42" s="7" t="s">
        <v>111</v>
      </c>
      <c r="B42" s="8">
        <v>46274</v>
      </c>
      <c r="C42" s="7" t="s">
        <v>88</v>
      </c>
      <c r="D42" s="7" t="s">
        <v>49</v>
      </c>
      <c r="E42" s="7" t="s">
        <v>68</v>
      </c>
      <c r="F42" s="7" t="s">
        <v>89</v>
      </c>
      <c r="G42" s="7">
        <v>4</v>
      </c>
      <c r="H42" s="9">
        <v>6</v>
      </c>
      <c r="I42" s="9">
        <v>24</v>
      </c>
      <c r="J42" s="9">
        <v>14.9</v>
      </c>
      <c r="K42" s="9">
        <f t="shared" si="8"/>
        <v>9.1</v>
      </c>
      <c r="L42" s="15">
        <f t="shared" si="1"/>
        <v>0.37916666666666665</v>
      </c>
      <c r="M42" s="15">
        <f>_xlfn.XLOOKUP(F42,Menu_Lookup!$A$2:$A$11,Menu_Lookup!$C$2:$C$11,"NOT FOUND")</f>
        <v>0.38</v>
      </c>
      <c r="N42" s="19">
        <f t="shared" si="9"/>
        <v>9.120000000000001</v>
      </c>
      <c r="O42" s="7" t="s">
        <v>52</v>
      </c>
      <c r="P42" s="7" t="str">
        <f t="shared" si="10"/>
        <v>OK</v>
      </c>
      <c r="Q42" s="7" t="str">
        <f t="shared" si="11"/>
        <v>OK</v>
      </c>
      <c r="R42" s="7" t="str">
        <f t="shared" si="12"/>
        <v>OK</v>
      </c>
      <c r="S42" s="7" t="str">
        <f t="shared" si="13"/>
        <v>OK</v>
      </c>
      <c r="T42" s="7" t="str">
        <f t="shared" si="14"/>
        <v>OK</v>
      </c>
    </row>
    <row r="43" spans="1:20">
      <c r="A43" s="7" t="s">
        <v>112</v>
      </c>
      <c r="B43" s="8">
        <v>46282</v>
      </c>
      <c r="C43" s="7" t="s">
        <v>88</v>
      </c>
      <c r="D43" s="7" t="s">
        <v>49</v>
      </c>
      <c r="E43" s="7" t="s">
        <v>68</v>
      </c>
      <c r="F43" s="7" t="s">
        <v>85</v>
      </c>
      <c r="G43" s="7">
        <v>1</v>
      </c>
      <c r="H43" s="9">
        <v>5</v>
      </c>
      <c r="I43" s="9">
        <v>5</v>
      </c>
      <c r="J43" s="9">
        <v>3.29</v>
      </c>
      <c r="K43" s="9">
        <f t="shared" si="8"/>
        <v>1.71</v>
      </c>
      <c r="L43" s="15">
        <f t="shared" si="1"/>
        <v>0.34199999999999997</v>
      </c>
      <c r="M43" s="15">
        <f>_xlfn.XLOOKUP(F43,Menu_Lookup!$A$2:$A$11,Menu_Lookup!$C$2:$C$11,"NOT FOUND")</f>
        <v>0.34</v>
      </c>
      <c r="N43" s="19">
        <f t="shared" si="9"/>
        <v>1.7000000000000002</v>
      </c>
      <c r="O43" s="7" t="s">
        <v>52</v>
      </c>
      <c r="P43" s="7" t="str">
        <f t="shared" si="10"/>
        <v>OK</v>
      </c>
      <c r="Q43" s="7" t="str">
        <f t="shared" si="11"/>
        <v>OK</v>
      </c>
      <c r="R43" s="7" t="str">
        <f t="shared" si="12"/>
        <v>OK</v>
      </c>
      <c r="S43" s="7" t="str">
        <f t="shared" si="13"/>
        <v>OK</v>
      </c>
      <c r="T43" s="7" t="str">
        <f t="shared" si="14"/>
        <v>OK</v>
      </c>
    </row>
    <row r="44" spans="1:20">
      <c r="A44" s="7" t="s">
        <v>113</v>
      </c>
      <c r="B44" s="8">
        <v>46242</v>
      </c>
      <c r="C44" s="7" t="s">
        <v>88</v>
      </c>
      <c r="D44" s="7" t="s">
        <v>49</v>
      </c>
      <c r="E44" s="7" t="s">
        <v>68</v>
      </c>
      <c r="F44" s="7" t="s">
        <v>62</v>
      </c>
      <c r="G44" s="7">
        <v>2</v>
      </c>
      <c r="H44" s="9">
        <v>7</v>
      </c>
      <c r="I44" s="9">
        <v>14</v>
      </c>
      <c r="J44" s="9">
        <v>8.8000000000000007</v>
      </c>
      <c r="K44" s="9">
        <f t="shared" si="8"/>
        <v>5.1999999999999993</v>
      </c>
      <c r="L44" s="15">
        <f t="shared" si="1"/>
        <v>0.37142857142857139</v>
      </c>
      <c r="M44" s="15">
        <f>_xlfn.XLOOKUP(F44,Menu_Lookup!$A$2:$A$11,Menu_Lookup!$C$2:$C$11,"NOT FOUND")</f>
        <v>0.36</v>
      </c>
      <c r="N44" s="19">
        <f t="shared" si="9"/>
        <v>5.04</v>
      </c>
      <c r="O44" s="7" t="s">
        <v>60</v>
      </c>
      <c r="P44" s="7" t="str">
        <f t="shared" si="10"/>
        <v>OK</v>
      </c>
      <c r="Q44" s="7" t="str">
        <f t="shared" si="11"/>
        <v>OK</v>
      </c>
      <c r="R44" s="7" t="str">
        <f t="shared" si="12"/>
        <v>OK</v>
      </c>
      <c r="S44" s="7" t="str">
        <f t="shared" si="13"/>
        <v>OK</v>
      </c>
      <c r="T44" s="7" t="str">
        <f t="shared" si="14"/>
        <v>OK</v>
      </c>
    </row>
    <row r="45" spans="1:20">
      <c r="A45" s="7" t="s">
        <v>114</v>
      </c>
      <c r="B45" s="8">
        <v>46254</v>
      </c>
      <c r="C45" s="7" t="s">
        <v>88</v>
      </c>
      <c r="D45" s="7" t="s">
        <v>59</v>
      </c>
      <c r="E45" s="7" t="s">
        <v>68</v>
      </c>
      <c r="F45" s="7" t="s">
        <v>51</v>
      </c>
      <c r="G45" s="7">
        <v>5</v>
      </c>
      <c r="H45" s="9">
        <v>5.5</v>
      </c>
      <c r="I45" s="9">
        <v>27.5</v>
      </c>
      <c r="J45" s="9">
        <v>18.32</v>
      </c>
      <c r="K45" s="9">
        <f t="shared" si="8"/>
        <v>9.18</v>
      </c>
      <c r="L45" s="15">
        <f t="shared" si="1"/>
        <v>0.33381818181818179</v>
      </c>
      <c r="M45" s="15">
        <f>_xlfn.XLOOKUP(F45,Menu_Lookup!$A$2:$A$11,Menu_Lookup!$C$2:$C$11,"NOT FOUND")</f>
        <v>0.35</v>
      </c>
      <c r="N45" s="19">
        <f t="shared" si="9"/>
        <v>9.625</v>
      </c>
      <c r="O45" s="7" t="s">
        <v>60</v>
      </c>
      <c r="P45" s="7" t="str">
        <f t="shared" si="10"/>
        <v>OK</v>
      </c>
      <c r="Q45" s="7" t="str">
        <f t="shared" si="11"/>
        <v>OK</v>
      </c>
      <c r="R45" s="7" t="str">
        <f t="shared" si="12"/>
        <v>OK</v>
      </c>
      <c r="S45" s="7" t="str">
        <f t="shared" si="13"/>
        <v>OK</v>
      </c>
      <c r="T45" s="7" t="str">
        <f t="shared" si="14"/>
        <v>OK</v>
      </c>
    </row>
    <row r="46" spans="1:20">
      <c r="A46" s="7" t="s">
        <v>115</v>
      </c>
      <c r="B46" s="8">
        <v>46247</v>
      </c>
      <c r="C46" s="7" t="s">
        <v>58</v>
      </c>
      <c r="D46" s="7" t="s">
        <v>59</v>
      </c>
      <c r="E46" s="7" t="s">
        <v>50</v>
      </c>
      <c r="F46" s="7" t="s">
        <v>56</v>
      </c>
      <c r="G46" s="7">
        <v>5</v>
      </c>
      <c r="H46" s="9">
        <v>1.2</v>
      </c>
      <c r="I46" s="9">
        <v>6</v>
      </c>
      <c r="J46" s="9">
        <v>2.2599999999999998</v>
      </c>
      <c r="K46" s="9">
        <f t="shared" si="8"/>
        <v>3.74</v>
      </c>
      <c r="L46" s="15">
        <f t="shared" si="1"/>
        <v>0.62333333333333341</v>
      </c>
      <c r="M46" s="15">
        <f>_xlfn.XLOOKUP(F46,Menu_Lookup!$A$2:$A$11,Menu_Lookup!$C$2:$C$11,"NOT FOUND")</f>
        <v>0.55000000000000004</v>
      </c>
      <c r="N46" s="19">
        <f t="shared" si="9"/>
        <v>3.3000000000000003</v>
      </c>
      <c r="O46" s="7" t="s">
        <v>60</v>
      </c>
      <c r="P46" s="7" t="str">
        <f t="shared" si="10"/>
        <v>OK</v>
      </c>
      <c r="Q46" s="7" t="str">
        <f t="shared" si="11"/>
        <v>OK</v>
      </c>
      <c r="R46" s="7" t="str">
        <f t="shared" si="12"/>
        <v>OK</v>
      </c>
      <c r="S46" s="7" t="str">
        <f t="shared" si="13"/>
        <v>OK</v>
      </c>
      <c r="T46" s="7" t="str">
        <f t="shared" si="14"/>
        <v>OK</v>
      </c>
    </row>
    <row r="47" spans="1:20">
      <c r="A47" s="7" t="s">
        <v>116</v>
      </c>
      <c r="B47" s="8">
        <v>46237</v>
      </c>
      <c r="C47" s="7" t="s">
        <v>58</v>
      </c>
      <c r="D47" s="7" t="s">
        <v>49</v>
      </c>
      <c r="E47" s="7" t="s">
        <v>68</v>
      </c>
      <c r="F47" s="7" t="s">
        <v>70</v>
      </c>
      <c r="G47" s="7">
        <v>2</v>
      </c>
      <c r="H47" s="9">
        <v>2.5</v>
      </c>
      <c r="I47" s="9">
        <v>5</v>
      </c>
      <c r="J47" s="9">
        <v>2.5499999999999998</v>
      </c>
      <c r="K47" s="9">
        <f t="shared" si="8"/>
        <v>2.4500000000000002</v>
      </c>
      <c r="L47" s="15">
        <f t="shared" si="1"/>
        <v>0.49000000000000005</v>
      </c>
      <c r="M47" s="15">
        <f>_xlfn.XLOOKUP(F47,Menu_Lookup!$A$2:$A$11,Menu_Lookup!$C$2:$C$11,"NOT FOUND")</f>
        <v>0.48</v>
      </c>
      <c r="N47" s="19">
        <f t="shared" si="9"/>
        <v>2.4</v>
      </c>
      <c r="O47" s="7" t="s">
        <v>52</v>
      </c>
      <c r="P47" s="7" t="str">
        <f t="shared" si="10"/>
        <v>OK</v>
      </c>
      <c r="Q47" s="7" t="str">
        <f t="shared" si="11"/>
        <v>OK</v>
      </c>
      <c r="R47" s="7" t="str">
        <f t="shared" si="12"/>
        <v>OK</v>
      </c>
      <c r="S47" s="7" t="str">
        <f t="shared" si="13"/>
        <v>OK</v>
      </c>
      <c r="T47" s="7" t="str">
        <f t="shared" si="14"/>
        <v>OK</v>
      </c>
    </row>
    <row r="48" spans="1:20">
      <c r="A48" s="7" t="s">
        <v>117</v>
      </c>
      <c r="B48" s="8">
        <v>46264</v>
      </c>
      <c r="C48" s="7" t="s">
        <v>58</v>
      </c>
      <c r="D48" s="7" t="s">
        <v>72</v>
      </c>
      <c r="E48" s="7" t="s">
        <v>55</v>
      </c>
      <c r="F48" s="7" t="s">
        <v>62</v>
      </c>
      <c r="G48" s="7">
        <v>1</v>
      </c>
      <c r="H48" s="9">
        <v>7</v>
      </c>
      <c r="I48" s="9">
        <v>7</v>
      </c>
      <c r="J48" s="9">
        <v>4.37</v>
      </c>
      <c r="K48" s="9">
        <f t="shared" si="8"/>
        <v>2.63</v>
      </c>
      <c r="L48" s="15">
        <f t="shared" si="1"/>
        <v>0.37571428571428572</v>
      </c>
      <c r="M48" s="15">
        <f>_xlfn.XLOOKUP(F48,Menu_Lookup!$A$2:$A$11,Menu_Lookup!$C$2:$C$11,"NOT FOUND")</f>
        <v>0.36</v>
      </c>
      <c r="N48" s="19">
        <f t="shared" si="9"/>
        <v>2.52</v>
      </c>
      <c r="O48" s="7" t="s">
        <v>60</v>
      </c>
      <c r="P48" s="7" t="str">
        <f t="shared" si="10"/>
        <v>OK</v>
      </c>
      <c r="Q48" s="7" t="str">
        <f t="shared" si="11"/>
        <v>OK</v>
      </c>
      <c r="R48" s="7" t="str">
        <f t="shared" si="12"/>
        <v>OK</v>
      </c>
      <c r="S48" s="7" t="str">
        <f t="shared" si="13"/>
        <v>OK</v>
      </c>
      <c r="T48" s="7" t="str">
        <f t="shared" si="14"/>
        <v>OK</v>
      </c>
    </row>
    <row r="49" spans="1:20">
      <c r="A49" s="7" t="s">
        <v>118</v>
      </c>
      <c r="B49" s="8">
        <v>46279</v>
      </c>
      <c r="C49" s="7" t="s">
        <v>58</v>
      </c>
      <c r="D49" s="7" t="s">
        <v>59</v>
      </c>
      <c r="E49" s="7" t="s">
        <v>55</v>
      </c>
      <c r="F49" s="7" t="s">
        <v>65</v>
      </c>
      <c r="G49" s="7">
        <v>2</v>
      </c>
      <c r="H49" s="9">
        <v>5.5</v>
      </c>
      <c r="I49" s="9">
        <v>11</v>
      </c>
      <c r="J49" s="9">
        <v>7.57</v>
      </c>
      <c r="K49" s="9">
        <f t="shared" si="8"/>
        <v>3.4299999999999997</v>
      </c>
      <c r="L49" s="15">
        <f t="shared" si="1"/>
        <v>0.31181818181818177</v>
      </c>
      <c r="M49" s="15">
        <f>_xlfn.XLOOKUP(F49,Menu_Lookup!$A$2:$A$11,Menu_Lookup!$C$2:$C$11,"NOT FOUND")</f>
        <v>0.33</v>
      </c>
      <c r="N49" s="19">
        <f t="shared" si="9"/>
        <v>3.6300000000000003</v>
      </c>
      <c r="O49" s="7" t="s">
        <v>52</v>
      </c>
      <c r="P49" s="7" t="str">
        <f t="shared" si="10"/>
        <v>OK</v>
      </c>
      <c r="Q49" s="7" t="str">
        <f t="shared" si="11"/>
        <v>OK</v>
      </c>
      <c r="R49" s="7" t="str">
        <f t="shared" si="12"/>
        <v>OK</v>
      </c>
      <c r="S49" s="7" t="str">
        <f t="shared" si="13"/>
        <v>OK</v>
      </c>
      <c r="T49" s="7" t="str">
        <f t="shared" si="14"/>
        <v>OK</v>
      </c>
    </row>
    <row r="50" spans="1:20">
      <c r="A50" s="7" t="s">
        <v>119</v>
      </c>
      <c r="B50" s="8">
        <v>46250</v>
      </c>
      <c r="C50" s="7" t="s">
        <v>58</v>
      </c>
      <c r="D50" s="7" t="s">
        <v>59</v>
      </c>
      <c r="E50" s="7" t="s">
        <v>50</v>
      </c>
      <c r="F50" s="7" t="s">
        <v>79</v>
      </c>
      <c r="G50" s="7">
        <v>2</v>
      </c>
      <c r="H50" s="9">
        <v>4</v>
      </c>
      <c r="I50" s="9">
        <v>8</v>
      </c>
      <c r="J50" s="9">
        <v>4.55</v>
      </c>
      <c r="K50" s="9">
        <f t="shared" si="8"/>
        <v>3.45</v>
      </c>
      <c r="L50" s="15">
        <f t="shared" si="1"/>
        <v>0.43125000000000002</v>
      </c>
      <c r="M50" s="15">
        <f>_xlfn.XLOOKUP(F50,Menu_Lookup!$A$2:$A$11,Menu_Lookup!$C$2:$C$11,"NOT FOUND")</f>
        <v>0.4</v>
      </c>
      <c r="N50" s="19">
        <f t="shared" si="9"/>
        <v>3.2</v>
      </c>
      <c r="O50" s="7" t="s">
        <v>60</v>
      </c>
      <c r="P50" s="7" t="str">
        <f t="shared" si="10"/>
        <v>OK</v>
      </c>
      <c r="Q50" s="7" t="str">
        <f t="shared" si="11"/>
        <v>OK</v>
      </c>
      <c r="R50" s="7" t="str">
        <f t="shared" si="12"/>
        <v>OK</v>
      </c>
      <c r="S50" s="7" t="str">
        <f t="shared" si="13"/>
        <v>OK</v>
      </c>
      <c r="T50" s="7" t="str">
        <f t="shared" si="14"/>
        <v>OK</v>
      </c>
    </row>
    <row r="51" spans="1:20">
      <c r="A51" s="7" t="s">
        <v>120</v>
      </c>
      <c r="B51" s="8">
        <v>46244</v>
      </c>
      <c r="C51" s="7" t="s">
        <v>58</v>
      </c>
      <c r="D51" s="7" t="s">
        <v>49</v>
      </c>
      <c r="E51" s="7" t="s">
        <v>50</v>
      </c>
      <c r="F51" s="7" t="s">
        <v>51</v>
      </c>
      <c r="G51" s="7">
        <v>1</v>
      </c>
      <c r="H51" s="9">
        <v>5.5</v>
      </c>
      <c r="I51" s="9">
        <v>5.5</v>
      </c>
      <c r="J51" s="9">
        <v>3.89</v>
      </c>
      <c r="K51" s="9">
        <f t="shared" si="8"/>
        <v>1.6099999999999999</v>
      </c>
      <c r="L51" s="15">
        <f t="shared" si="1"/>
        <v>0.29272727272727272</v>
      </c>
      <c r="M51" s="15">
        <f>_xlfn.XLOOKUP(F51,Menu_Lookup!$A$2:$A$11,Menu_Lookup!$C$2:$C$11,"NOT FOUND")</f>
        <v>0.35</v>
      </c>
      <c r="N51" s="19">
        <f t="shared" si="9"/>
        <v>1.9249999999999998</v>
      </c>
      <c r="O51" s="7" t="s">
        <v>60</v>
      </c>
      <c r="P51" s="7" t="str">
        <f t="shared" si="10"/>
        <v>OK</v>
      </c>
      <c r="Q51" s="7" t="str">
        <f t="shared" si="11"/>
        <v>OK</v>
      </c>
      <c r="R51" s="7" t="str">
        <f t="shared" si="12"/>
        <v>OK</v>
      </c>
      <c r="S51" s="7" t="str">
        <f t="shared" si="13"/>
        <v>OK</v>
      </c>
      <c r="T51" s="7" t="str">
        <f t="shared" si="14"/>
        <v>OK</v>
      </c>
    </row>
    <row r="52" spans="1:20">
      <c r="A52" s="7" t="s">
        <v>121</v>
      </c>
      <c r="B52" s="8">
        <v>46254</v>
      </c>
      <c r="C52" s="7" t="s">
        <v>58</v>
      </c>
      <c r="D52" s="7" t="s">
        <v>59</v>
      </c>
      <c r="E52" s="7" t="s">
        <v>50</v>
      </c>
      <c r="F52" s="7" t="s">
        <v>56</v>
      </c>
      <c r="G52" s="7">
        <v>1</v>
      </c>
      <c r="H52" s="9">
        <v>1.2</v>
      </c>
      <c r="I52" s="9">
        <v>1.2</v>
      </c>
      <c r="J52" s="9">
        <v>0.5</v>
      </c>
      <c r="K52" s="9">
        <f t="shared" si="8"/>
        <v>0.7</v>
      </c>
      <c r="L52" s="15">
        <f t="shared" si="1"/>
        <v>0.58333333333333337</v>
      </c>
      <c r="M52" s="15">
        <f>_xlfn.XLOOKUP(F52,Menu_Lookup!$A$2:$A$11,Menu_Lookup!$C$2:$C$11,"NOT FOUND")</f>
        <v>0.55000000000000004</v>
      </c>
      <c r="N52" s="19">
        <f t="shared" si="9"/>
        <v>0.66</v>
      </c>
      <c r="O52" s="7" t="s">
        <v>52</v>
      </c>
      <c r="P52" s="7" t="str">
        <f t="shared" si="10"/>
        <v>OK</v>
      </c>
      <c r="Q52" s="7" t="str">
        <f t="shared" si="11"/>
        <v>OK</v>
      </c>
      <c r="R52" s="7" t="str">
        <f t="shared" si="12"/>
        <v>OK</v>
      </c>
      <c r="S52" s="7" t="str">
        <f t="shared" si="13"/>
        <v>OK</v>
      </c>
      <c r="T52" s="7" t="str">
        <f t="shared" si="14"/>
        <v>OK</v>
      </c>
    </row>
    <row r="53" spans="1:20">
      <c r="A53" s="7" t="s">
        <v>122</v>
      </c>
      <c r="B53" s="8">
        <v>46280</v>
      </c>
      <c r="C53" s="7" t="s">
        <v>58</v>
      </c>
      <c r="D53" s="7" t="s">
        <v>49</v>
      </c>
      <c r="E53" s="7" t="s">
        <v>55</v>
      </c>
      <c r="F53" s="7" t="s">
        <v>70</v>
      </c>
      <c r="G53" s="7">
        <v>2</v>
      </c>
      <c r="H53" s="9">
        <v>2.5</v>
      </c>
      <c r="I53" s="9">
        <v>5</v>
      </c>
      <c r="J53" s="9">
        <v>2.38</v>
      </c>
      <c r="K53" s="9">
        <f t="shared" si="8"/>
        <v>2.62</v>
      </c>
      <c r="L53" s="15">
        <f t="shared" si="1"/>
        <v>0.52400000000000002</v>
      </c>
      <c r="M53" s="15">
        <f>_xlfn.XLOOKUP(F53,Menu_Lookup!$A$2:$A$11,Menu_Lookup!$C$2:$C$11,"NOT FOUND")</f>
        <v>0.48</v>
      </c>
      <c r="N53" s="19">
        <f t="shared" si="9"/>
        <v>2.4</v>
      </c>
      <c r="O53" s="7" t="s">
        <v>52</v>
      </c>
      <c r="P53" s="7" t="str">
        <f t="shared" si="10"/>
        <v>OK</v>
      </c>
      <c r="Q53" s="7" t="str">
        <f t="shared" si="11"/>
        <v>OK</v>
      </c>
      <c r="R53" s="7" t="str">
        <f t="shared" si="12"/>
        <v>OK</v>
      </c>
      <c r="S53" s="7" t="str">
        <f t="shared" si="13"/>
        <v>OK</v>
      </c>
      <c r="T53" s="7" t="str">
        <f t="shared" si="14"/>
        <v>OK</v>
      </c>
    </row>
    <row r="54" spans="1:20">
      <c r="A54" s="7" t="s">
        <v>123</v>
      </c>
      <c r="B54" s="8">
        <v>46238</v>
      </c>
      <c r="C54" s="7" t="s">
        <v>58</v>
      </c>
      <c r="D54" s="7" t="s">
        <v>59</v>
      </c>
      <c r="E54" s="7" t="s">
        <v>50</v>
      </c>
      <c r="F54" s="7" t="s">
        <v>100</v>
      </c>
      <c r="G54" s="7">
        <v>4</v>
      </c>
      <c r="H54" s="9">
        <v>3.8</v>
      </c>
      <c r="I54" s="9">
        <v>15.2</v>
      </c>
      <c r="J54" s="9">
        <v>8.7899999999999991</v>
      </c>
      <c r="K54" s="9">
        <f t="shared" si="8"/>
        <v>6.41</v>
      </c>
      <c r="L54" s="15">
        <f t="shared" si="1"/>
        <v>0.42171052631578948</v>
      </c>
      <c r="M54" s="15">
        <f>_xlfn.XLOOKUP(F54,Menu_Lookup!$A$2:$A$11,Menu_Lookup!$C$2:$C$11,"NOT FOUND")</f>
        <v>0.42</v>
      </c>
      <c r="N54" s="19">
        <f t="shared" si="9"/>
        <v>6.3839999999999995</v>
      </c>
      <c r="O54" s="7" t="s">
        <v>52</v>
      </c>
      <c r="P54" s="7" t="str">
        <f t="shared" si="10"/>
        <v>OK</v>
      </c>
      <c r="Q54" s="7" t="str">
        <f t="shared" si="11"/>
        <v>OK</v>
      </c>
      <c r="R54" s="7" t="str">
        <f t="shared" si="12"/>
        <v>OK</v>
      </c>
      <c r="S54" s="7" t="str">
        <f t="shared" si="13"/>
        <v>OK</v>
      </c>
      <c r="T54" s="7" t="str">
        <f t="shared" si="14"/>
        <v>OK</v>
      </c>
    </row>
    <row r="55" spans="1:20">
      <c r="A55" s="7" t="s">
        <v>124</v>
      </c>
      <c r="B55" s="8">
        <v>46290</v>
      </c>
      <c r="C55" s="7" t="s">
        <v>58</v>
      </c>
      <c r="D55" s="7" t="s">
        <v>49</v>
      </c>
      <c r="E55" s="7" t="s">
        <v>68</v>
      </c>
      <c r="F55" s="7" t="s">
        <v>65</v>
      </c>
      <c r="G55" s="7">
        <v>4</v>
      </c>
      <c r="H55" s="9">
        <v>5.5</v>
      </c>
      <c r="I55" s="9">
        <v>22</v>
      </c>
      <c r="J55" s="9">
        <v>15.29</v>
      </c>
      <c r="K55" s="9">
        <f t="shared" si="8"/>
        <v>6.7100000000000009</v>
      </c>
      <c r="L55" s="15">
        <f t="shared" si="1"/>
        <v>0.30500000000000005</v>
      </c>
      <c r="M55" s="15">
        <f>_xlfn.XLOOKUP(F55,Menu_Lookup!$A$2:$A$11,Menu_Lookup!$C$2:$C$11,"NOT FOUND")</f>
        <v>0.33</v>
      </c>
      <c r="N55" s="19">
        <f t="shared" si="9"/>
        <v>7.2600000000000007</v>
      </c>
      <c r="O55" s="7" t="s">
        <v>52</v>
      </c>
      <c r="P55" s="7" t="str">
        <f t="shared" si="10"/>
        <v>OK</v>
      </c>
      <c r="Q55" s="7" t="str">
        <f t="shared" si="11"/>
        <v>OK</v>
      </c>
      <c r="R55" s="7" t="str">
        <f t="shared" si="12"/>
        <v>OK</v>
      </c>
      <c r="S55" s="7" t="str">
        <f t="shared" si="13"/>
        <v>OK</v>
      </c>
      <c r="T55" s="7" t="str">
        <f t="shared" si="14"/>
        <v>OK</v>
      </c>
    </row>
    <row r="56" spans="1:20">
      <c r="A56" s="7" t="s">
        <v>125</v>
      </c>
      <c r="B56" s="8">
        <v>46257</v>
      </c>
      <c r="C56" s="7" t="s">
        <v>58</v>
      </c>
      <c r="D56" s="7" t="s">
        <v>72</v>
      </c>
      <c r="E56" s="7" t="s">
        <v>68</v>
      </c>
      <c r="F56" s="7" t="s">
        <v>96</v>
      </c>
      <c r="G56" s="7">
        <v>1</v>
      </c>
      <c r="H56" s="9">
        <v>4.5</v>
      </c>
      <c r="I56" s="9">
        <v>4.5</v>
      </c>
      <c r="J56" s="9">
        <v>3.17</v>
      </c>
      <c r="K56" s="9">
        <f t="shared" si="8"/>
        <v>1.33</v>
      </c>
      <c r="L56" s="15">
        <f t="shared" si="1"/>
        <v>0.29555555555555557</v>
      </c>
      <c r="M56" s="15">
        <f>_xlfn.XLOOKUP(F56,Menu_Lookup!$A$2:$A$11,Menu_Lookup!$C$2:$C$11,"NOT FOUND")</f>
        <v>0.32</v>
      </c>
      <c r="N56" s="19">
        <f t="shared" si="9"/>
        <v>1.44</v>
      </c>
      <c r="O56" s="7" t="s">
        <v>52</v>
      </c>
      <c r="P56" s="7" t="str">
        <f t="shared" si="10"/>
        <v>OK</v>
      </c>
      <c r="Q56" s="7" t="str">
        <f t="shared" si="11"/>
        <v>OK</v>
      </c>
      <c r="R56" s="7" t="str">
        <f t="shared" si="12"/>
        <v>OK</v>
      </c>
      <c r="S56" s="7" t="str">
        <f t="shared" si="13"/>
        <v>OK</v>
      </c>
      <c r="T56" s="7" t="str">
        <f t="shared" si="14"/>
        <v>OK</v>
      </c>
    </row>
    <row r="57" spans="1:20">
      <c r="A57" s="7" t="s">
        <v>126</v>
      </c>
      <c r="B57" s="8">
        <v>46237</v>
      </c>
      <c r="C57" s="7" t="s">
        <v>58</v>
      </c>
      <c r="D57" s="7" t="s">
        <v>72</v>
      </c>
      <c r="E57" s="7" t="s">
        <v>55</v>
      </c>
      <c r="F57" s="7" t="s">
        <v>100</v>
      </c>
      <c r="G57" s="7">
        <v>5</v>
      </c>
      <c r="H57" s="9">
        <v>3.8</v>
      </c>
      <c r="I57" s="9">
        <v>19</v>
      </c>
      <c r="J57" s="9">
        <v>10.35</v>
      </c>
      <c r="K57" s="9">
        <f t="shared" si="8"/>
        <v>8.65</v>
      </c>
      <c r="L57" s="15">
        <f t="shared" si="1"/>
        <v>0.45526315789473687</v>
      </c>
      <c r="M57" s="15">
        <f>_xlfn.XLOOKUP(F57,Menu_Lookup!$A$2:$A$11,Menu_Lookup!$C$2:$C$11,"NOT FOUND")</f>
        <v>0.42</v>
      </c>
      <c r="N57" s="19">
        <f t="shared" si="9"/>
        <v>7.9799999999999995</v>
      </c>
      <c r="O57" s="7" t="s">
        <v>52</v>
      </c>
      <c r="P57" s="7" t="str">
        <f t="shared" si="10"/>
        <v>OK</v>
      </c>
      <c r="Q57" s="7" t="str">
        <f t="shared" si="11"/>
        <v>OK</v>
      </c>
      <c r="R57" s="7" t="str">
        <f t="shared" si="12"/>
        <v>OK</v>
      </c>
      <c r="S57" s="7" t="str">
        <f t="shared" si="13"/>
        <v>OK</v>
      </c>
      <c r="T57" s="7" t="str">
        <f t="shared" si="14"/>
        <v>OK</v>
      </c>
    </row>
    <row r="58" spans="1:20">
      <c r="A58" s="7" t="s">
        <v>127</v>
      </c>
      <c r="B58" s="8">
        <v>46285</v>
      </c>
      <c r="C58" s="7" t="s">
        <v>58</v>
      </c>
      <c r="D58" s="7" t="s">
        <v>49</v>
      </c>
      <c r="E58" s="7" t="s">
        <v>50</v>
      </c>
      <c r="F58" s="7" t="s">
        <v>56</v>
      </c>
      <c r="G58" s="7">
        <v>4</v>
      </c>
      <c r="H58" s="9">
        <v>1.2</v>
      </c>
      <c r="I58" s="9">
        <v>4.8</v>
      </c>
      <c r="J58" s="9">
        <v>1.99</v>
      </c>
      <c r="K58" s="9">
        <f t="shared" si="8"/>
        <v>2.8099999999999996</v>
      </c>
      <c r="L58" s="15">
        <f t="shared" si="1"/>
        <v>0.58541666666666659</v>
      </c>
      <c r="M58" s="15">
        <f>_xlfn.XLOOKUP(F58,Menu_Lookup!$A$2:$A$11,Menu_Lookup!$C$2:$C$11,"NOT FOUND")</f>
        <v>0.55000000000000004</v>
      </c>
      <c r="N58" s="19">
        <f t="shared" si="9"/>
        <v>2.64</v>
      </c>
      <c r="O58" s="7" t="s">
        <v>52</v>
      </c>
      <c r="P58" s="7" t="str">
        <f t="shared" si="10"/>
        <v>OK</v>
      </c>
      <c r="Q58" s="7" t="str">
        <f t="shared" si="11"/>
        <v>OK</v>
      </c>
      <c r="R58" s="7" t="str">
        <f t="shared" si="12"/>
        <v>OK</v>
      </c>
      <c r="S58" s="7" t="str">
        <f t="shared" si="13"/>
        <v>OK</v>
      </c>
      <c r="T58" s="7" t="str">
        <f t="shared" si="14"/>
        <v>OK</v>
      </c>
    </row>
    <row r="59" spans="1:20">
      <c r="A59" s="7" t="s">
        <v>128</v>
      </c>
      <c r="B59" s="10">
        <v>46276</v>
      </c>
      <c r="C59" s="7" t="s">
        <v>58</v>
      </c>
      <c r="D59" s="7" t="s">
        <v>49</v>
      </c>
      <c r="E59" s="7" t="s">
        <v>55</v>
      </c>
      <c r="F59" s="7" t="s">
        <v>79</v>
      </c>
      <c r="G59" s="7">
        <v>4</v>
      </c>
      <c r="H59" s="9">
        <v>4</v>
      </c>
      <c r="I59" s="9">
        <v>16</v>
      </c>
      <c r="J59" s="9">
        <v>9.08</v>
      </c>
      <c r="K59" s="9">
        <f t="shared" si="8"/>
        <v>6.92</v>
      </c>
      <c r="L59" s="15">
        <f t="shared" si="1"/>
        <v>0.4325</v>
      </c>
      <c r="M59" s="15">
        <f>_xlfn.XLOOKUP(F59,Menu_Lookup!$A$2:$A$11,Menu_Lookup!$C$2:$C$11,"NOT FOUND")</f>
        <v>0.4</v>
      </c>
      <c r="N59" s="19">
        <f t="shared" si="9"/>
        <v>6.4</v>
      </c>
      <c r="O59" s="7" t="s">
        <v>60</v>
      </c>
      <c r="P59" s="7" t="str">
        <f t="shared" si="10"/>
        <v>OK</v>
      </c>
      <c r="Q59" s="7" t="str">
        <f t="shared" si="11"/>
        <v>OK</v>
      </c>
      <c r="R59" s="7" t="str">
        <f t="shared" si="12"/>
        <v>OK</v>
      </c>
      <c r="S59" s="7" t="str">
        <f t="shared" si="13"/>
        <v>OK</v>
      </c>
      <c r="T59" s="7" t="str">
        <f t="shared" si="14"/>
        <v>OK</v>
      </c>
    </row>
    <row r="60" spans="1:20">
      <c r="A60" s="7" t="s">
        <v>129</v>
      </c>
      <c r="B60" s="8">
        <v>46264</v>
      </c>
      <c r="C60" s="7" t="s">
        <v>58</v>
      </c>
      <c r="D60" s="7" t="s">
        <v>59</v>
      </c>
      <c r="E60" s="7" t="s">
        <v>50</v>
      </c>
      <c r="F60" s="7" t="s">
        <v>51</v>
      </c>
      <c r="G60" s="7">
        <v>4</v>
      </c>
      <c r="H60" s="9">
        <v>5.5</v>
      </c>
      <c r="I60" s="9">
        <v>22</v>
      </c>
      <c r="J60" s="9">
        <v>14.78</v>
      </c>
      <c r="K60" s="9">
        <f t="shared" si="8"/>
        <v>7.2200000000000006</v>
      </c>
      <c r="L60" s="15">
        <f t="shared" si="1"/>
        <v>0.32818181818181819</v>
      </c>
      <c r="M60" s="15">
        <f>_xlfn.XLOOKUP(F60,Menu_Lookup!$A$2:$A$11,Menu_Lookup!$C$2:$C$11,"NOT FOUND")</f>
        <v>0.35</v>
      </c>
      <c r="N60" s="19">
        <f t="shared" si="9"/>
        <v>7.6999999999999993</v>
      </c>
      <c r="O60" s="7" t="s">
        <v>60</v>
      </c>
      <c r="P60" s="7" t="str">
        <f t="shared" si="10"/>
        <v>OK</v>
      </c>
      <c r="Q60" s="7" t="str">
        <f t="shared" si="11"/>
        <v>OK</v>
      </c>
      <c r="R60" s="7" t="str">
        <f t="shared" si="12"/>
        <v>OK</v>
      </c>
      <c r="S60" s="7" t="str">
        <f t="shared" si="13"/>
        <v>OK</v>
      </c>
      <c r="T60" s="7" t="str">
        <f t="shared" si="14"/>
        <v>OK</v>
      </c>
    </row>
    <row r="61" spans="1:20">
      <c r="A61" s="7" t="s">
        <v>130</v>
      </c>
      <c r="B61" s="8">
        <v>46282</v>
      </c>
      <c r="C61" s="7" t="s">
        <v>58</v>
      </c>
      <c r="D61" s="7" t="s">
        <v>49</v>
      </c>
      <c r="E61" s="7" t="s">
        <v>55</v>
      </c>
      <c r="F61" s="7" t="s">
        <v>65</v>
      </c>
      <c r="G61" s="7">
        <v>2</v>
      </c>
      <c r="H61" s="9">
        <v>5.5</v>
      </c>
      <c r="I61" s="9">
        <v>11</v>
      </c>
      <c r="J61" s="9">
        <v>7.54</v>
      </c>
      <c r="K61" s="9">
        <f t="shared" si="8"/>
        <v>3.46</v>
      </c>
      <c r="L61" s="15">
        <f t="shared" si="1"/>
        <v>0.31454545454545452</v>
      </c>
      <c r="M61" s="15">
        <f>_xlfn.XLOOKUP(F61,Menu_Lookup!$A$2:$A$11,Menu_Lookup!$C$2:$C$11,"NOT FOUND")</f>
        <v>0.33</v>
      </c>
      <c r="N61" s="19">
        <f t="shared" si="9"/>
        <v>3.6300000000000003</v>
      </c>
      <c r="O61" s="7" t="s">
        <v>60</v>
      </c>
      <c r="P61" s="7" t="str">
        <f t="shared" si="10"/>
        <v>OK</v>
      </c>
      <c r="Q61" s="7" t="str">
        <f t="shared" si="11"/>
        <v>OK</v>
      </c>
      <c r="R61" s="7" t="str">
        <f t="shared" si="12"/>
        <v>OK</v>
      </c>
      <c r="S61" s="7" t="str">
        <f t="shared" si="13"/>
        <v>OK</v>
      </c>
      <c r="T61" s="7" t="str">
        <f t="shared" si="14"/>
        <v>OK</v>
      </c>
    </row>
    <row r="62" spans="1:20">
      <c r="A62" s="7" t="s">
        <v>131</v>
      </c>
      <c r="B62" s="8">
        <v>46283</v>
      </c>
      <c r="C62" s="7" t="s">
        <v>64</v>
      </c>
      <c r="D62" s="7" t="s">
        <v>49</v>
      </c>
      <c r="E62" s="7" t="s">
        <v>55</v>
      </c>
      <c r="F62" s="7" t="s">
        <v>65</v>
      </c>
      <c r="G62" s="7">
        <v>3</v>
      </c>
      <c r="H62" s="9">
        <v>5.5</v>
      </c>
      <c r="I62" s="9">
        <v>16.5</v>
      </c>
      <c r="J62" s="9">
        <v>10.94</v>
      </c>
      <c r="K62" s="9">
        <f t="shared" si="8"/>
        <v>5.5600000000000005</v>
      </c>
      <c r="L62" s="15">
        <f t="shared" si="1"/>
        <v>0.33696969696969697</v>
      </c>
      <c r="M62" s="15">
        <f>_xlfn.XLOOKUP(F62,Menu_Lookup!$A$2:$A$11,Menu_Lookup!$C$2:$C$11,"NOT FOUND")</f>
        <v>0.33</v>
      </c>
      <c r="N62" s="19">
        <f t="shared" si="9"/>
        <v>5.4450000000000003</v>
      </c>
      <c r="O62" s="7" t="s">
        <v>60</v>
      </c>
      <c r="P62" s="7" t="str">
        <f t="shared" si="10"/>
        <v>OK</v>
      </c>
      <c r="Q62" s="7" t="str">
        <f t="shared" si="11"/>
        <v>OK</v>
      </c>
      <c r="R62" s="7" t="str">
        <f t="shared" si="12"/>
        <v>OK</v>
      </c>
      <c r="S62" s="7" t="str">
        <f t="shared" si="13"/>
        <v>OK</v>
      </c>
      <c r="T62" s="7" t="str">
        <f t="shared" si="14"/>
        <v>OK</v>
      </c>
    </row>
    <row r="63" spans="1:20">
      <c r="A63" s="7" t="s">
        <v>132</v>
      </c>
      <c r="B63" s="8">
        <v>46273</v>
      </c>
      <c r="C63" s="7" t="s">
        <v>64</v>
      </c>
      <c r="D63" s="7" t="s">
        <v>49</v>
      </c>
      <c r="E63" s="7" t="s">
        <v>50</v>
      </c>
      <c r="F63" s="7" t="s">
        <v>51</v>
      </c>
      <c r="G63" s="7">
        <v>3</v>
      </c>
      <c r="H63" s="9">
        <v>5.5</v>
      </c>
      <c r="I63" s="9">
        <v>16.5</v>
      </c>
      <c r="J63" s="9">
        <v>11.67</v>
      </c>
      <c r="K63" s="9">
        <f t="shared" si="8"/>
        <v>4.83</v>
      </c>
      <c r="L63" s="15">
        <f t="shared" si="1"/>
        <v>0.29272727272727272</v>
      </c>
      <c r="M63" s="15">
        <f>_xlfn.XLOOKUP(F63,Menu_Lookup!$A$2:$A$11,Menu_Lookup!$C$2:$C$11,"NOT FOUND")</f>
        <v>0.35</v>
      </c>
      <c r="N63" s="19">
        <f t="shared" si="9"/>
        <v>5.7749999999999995</v>
      </c>
      <c r="O63" s="7" t="s">
        <v>60</v>
      </c>
      <c r="P63" s="7" t="str">
        <f t="shared" si="10"/>
        <v>OK</v>
      </c>
      <c r="Q63" s="7" t="str">
        <f t="shared" si="11"/>
        <v>OK</v>
      </c>
      <c r="R63" s="7" t="str">
        <f t="shared" si="12"/>
        <v>OK</v>
      </c>
      <c r="S63" s="7" t="str">
        <f t="shared" si="13"/>
        <v>OK</v>
      </c>
      <c r="T63" s="7" t="str">
        <f t="shared" si="14"/>
        <v>OK</v>
      </c>
    </row>
    <row r="64" spans="1:20">
      <c r="A64" s="7" t="s">
        <v>133</v>
      </c>
      <c r="B64" s="8">
        <v>46237</v>
      </c>
      <c r="C64" s="7" t="s">
        <v>64</v>
      </c>
      <c r="D64" s="7" t="s">
        <v>72</v>
      </c>
      <c r="E64" s="7" t="s">
        <v>68</v>
      </c>
      <c r="F64" s="7" t="s">
        <v>65</v>
      </c>
      <c r="G64" s="7">
        <v>1</v>
      </c>
      <c r="H64" s="9">
        <v>5.5</v>
      </c>
      <c r="I64" s="9">
        <v>5.5</v>
      </c>
      <c r="J64" s="9">
        <v>3.67</v>
      </c>
      <c r="K64" s="9">
        <f t="shared" si="8"/>
        <v>1.83</v>
      </c>
      <c r="L64" s="15">
        <f t="shared" si="1"/>
        <v>0.33272727272727276</v>
      </c>
      <c r="M64" s="15">
        <f>_xlfn.XLOOKUP(F64,Menu_Lookup!$A$2:$A$11,Menu_Lookup!$C$2:$C$11,"NOT FOUND")</f>
        <v>0.33</v>
      </c>
      <c r="N64" s="19">
        <f t="shared" si="9"/>
        <v>1.8150000000000002</v>
      </c>
      <c r="O64" s="7" t="s">
        <v>52</v>
      </c>
      <c r="P64" s="7" t="str">
        <f t="shared" si="10"/>
        <v>OK</v>
      </c>
      <c r="Q64" s="7" t="str">
        <f t="shared" si="11"/>
        <v>OK</v>
      </c>
      <c r="R64" s="7" t="str">
        <f t="shared" si="12"/>
        <v>OK</v>
      </c>
      <c r="S64" s="7" t="str">
        <f t="shared" si="13"/>
        <v>OK</v>
      </c>
      <c r="T64" s="7" t="str">
        <f t="shared" si="14"/>
        <v>OK</v>
      </c>
    </row>
    <row r="65" spans="1:20">
      <c r="A65" s="7" t="s">
        <v>134</v>
      </c>
      <c r="B65" s="8">
        <v>46260</v>
      </c>
      <c r="C65" s="7" t="s">
        <v>64</v>
      </c>
      <c r="D65" s="7" t="s">
        <v>49</v>
      </c>
      <c r="E65" s="7" t="s">
        <v>55</v>
      </c>
      <c r="F65" s="7" t="s">
        <v>70</v>
      </c>
      <c r="G65" s="7">
        <v>4</v>
      </c>
      <c r="H65" s="9">
        <v>2.5</v>
      </c>
      <c r="I65" s="9">
        <v>10</v>
      </c>
      <c r="J65" s="9">
        <v>5.2</v>
      </c>
      <c r="K65" s="9">
        <f t="shared" ref="K65:K91" si="15">I65-J65</f>
        <v>4.8</v>
      </c>
      <c r="L65" s="15">
        <f t="shared" ref="L65:L91" si="16">K65/I65</f>
        <v>0.48</v>
      </c>
      <c r="M65" s="15">
        <f>_xlfn.XLOOKUP(F65,Menu_Lookup!$A$2:$A$11,Menu_Lookup!$C$2:$C$11,"NOT FOUND")</f>
        <v>0.48</v>
      </c>
      <c r="N65" s="19">
        <f t="shared" ref="N65:N91" si="17">I65*M65</f>
        <v>4.8</v>
      </c>
      <c r="O65" s="7" t="s">
        <v>60</v>
      </c>
      <c r="P65" s="7" t="str">
        <f t="shared" ref="P65:P91" si="18">IF(OR(C65&lt;&gt;TRIM(C65),D65&lt;&gt;TRIM(D65),E65&lt;&gt;TRIM(E65),F65&lt;&gt;TRIM(F65),O65&lt;&gt;TRIM(O65)),"CHECK","OK")</f>
        <v>OK</v>
      </c>
      <c r="Q65" s="7" t="str">
        <f t="shared" ref="Q65:Q91" si="19">IF(OR(NOT(EXACT(C65,PROPER(C65))),NOT(EXACT(D65,PROPER(D65))),AND(E65&lt;&gt;"",NOT(OR(EXACT(E65,"Dine-in"),EXACT(E65,"Delivery"),EXACT(E65,"Takeaway")))),NOT(EXACT(F65,PROPER(F65))),NOT(EXACT(O65,PROPER(O65)))),"CHECK","OK")</f>
        <v>OK</v>
      </c>
      <c r="R65" s="7" t="str">
        <f t="shared" ref="R65:R91" si="20">IF(COUNTBLANK(A65:O65)&gt;0,"CHECK","OK")</f>
        <v>OK</v>
      </c>
      <c r="S65" s="7" t="str">
        <f t="shared" ref="S65:S91" si="21">IF(AND(ISNUMBER(B65),ISNUMBER(G65),ISNUMBER(H65),ISNUMBER(I65),ISNUMBER(J65)),"OK","CHECK")</f>
        <v>OK</v>
      </c>
      <c r="T65" s="7" t="str">
        <f t="shared" si="14"/>
        <v>OK</v>
      </c>
    </row>
    <row r="66" spans="1:20">
      <c r="A66" s="7" t="s">
        <v>135</v>
      </c>
      <c r="B66" s="8">
        <v>46283</v>
      </c>
      <c r="C66" s="7" t="s">
        <v>64</v>
      </c>
      <c r="D66" s="7" t="s">
        <v>59</v>
      </c>
      <c r="E66" s="7" t="s">
        <v>68</v>
      </c>
      <c r="F66" s="7" t="s">
        <v>51</v>
      </c>
      <c r="G66" s="7">
        <v>6</v>
      </c>
      <c r="H66" s="9">
        <v>5.5</v>
      </c>
      <c r="I66" s="9">
        <v>33</v>
      </c>
      <c r="J66" s="9">
        <v>23.4</v>
      </c>
      <c r="K66" s="9">
        <f t="shared" si="15"/>
        <v>9.6000000000000014</v>
      </c>
      <c r="L66" s="15">
        <f t="shared" si="16"/>
        <v>0.29090909090909095</v>
      </c>
      <c r="M66" s="15">
        <f>_xlfn.XLOOKUP(F66,Menu_Lookup!$A$2:$A$11,Menu_Lookup!$C$2:$C$11,"NOT FOUND")</f>
        <v>0.35</v>
      </c>
      <c r="N66" s="19">
        <f t="shared" si="17"/>
        <v>11.549999999999999</v>
      </c>
      <c r="O66" s="7" t="s">
        <v>52</v>
      </c>
      <c r="P66" s="7" t="str">
        <f t="shared" si="18"/>
        <v>OK</v>
      </c>
      <c r="Q66" s="7" t="str">
        <f t="shared" si="19"/>
        <v>OK</v>
      </c>
      <c r="R66" s="7" t="str">
        <f t="shared" si="20"/>
        <v>OK</v>
      </c>
      <c r="S66" s="7" t="str">
        <f t="shared" si="21"/>
        <v>OK</v>
      </c>
      <c r="T66" s="7" t="str">
        <f t="shared" ref="T66:T91" si="22">IF(COUNTIFS($B$2:$B$91,B66,$C$2:$C$91,C66,$D$2:$D$91,D66,$E$2:$E$91,E66,$F$2:$F$91,F66,$G$2:$G$91,G66,$H$2:$H$91,H66,$I$2:$I$91,I66,$J$2:$J$91,J66,$K$2:$K$91,K66)&gt;1,"CHECK","OK")</f>
        <v>OK</v>
      </c>
    </row>
    <row r="67" spans="1:20">
      <c r="A67" s="7" t="s">
        <v>136</v>
      </c>
      <c r="B67" s="8">
        <v>46258</v>
      </c>
      <c r="C67" s="7" t="s">
        <v>64</v>
      </c>
      <c r="D67" s="7" t="s">
        <v>49</v>
      </c>
      <c r="E67" s="7" t="s">
        <v>55</v>
      </c>
      <c r="F67" s="7" t="s">
        <v>79</v>
      </c>
      <c r="G67" s="7">
        <v>1</v>
      </c>
      <c r="H67" s="9">
        <v>4</v>
      </c>
      <c r="I67" s="9">
        <v>4</v>
      </c>
      <c r="J67" s="9">
        <v>2.2400000000000002</v>
      </c>
      <c r="K67" s="9">
        <f t="shared" si="15"/>
        <v>1.7599999999999998</v>
      </c>
      <c r="L67" s="15">
        <f t="shared" si="16"/>
        <v>0.43999999999999995</v>
      </c>
      <c r="M67" s="15">
        <f>_xlfn.XLOOKUP(F67,Menu_Lookup!$A$2:$A$11,Menu_Lookup!$C$2:$C$11,"NOT FOUND")</f>
        <v>0.4</v>
      </c>
      <c r="N67" s="19">
        <f t="shared" si="17"/>
        <v>1.6</v>
      </c>
      <c r="O67" s="7" t="s">
        <v>52</v>
      </c>
      <c r="P67" s="7" t="str">
        <f t="shared" si="18"/>
        <v>OK</v>
      </c>
      <c r="Q67" s="7" t="str">
        <f t="shared" si="19"/>
        <v>OK</v>
      </c>
      <c r="R67" s="7" t="str">
        <f t="shared" si="20"/>
        <v>OK</v>
      </c>
      <c r="S67" s="7" t="str">
        <f t="shared" si="21"/>
        <v>OK</v>
      </c>
      <c r="T67" s="7" t="str">
        <f t="shared" si="22"/>
        <v>OK</v>
      </c>
    </row>
    <row r="68" spans="1:20">
      <c r="A68" s="7" t="s">
        <v>137</v>
      </c>
      <c r="B68" s="8">
        <v>46276</v>
      </c>
      <c r="C68" s="7" t="s">
        <v>64</v>
      </c>
      <c r="D68" s="7" t="s">
        <v>49</v>
      </c>
      <c r="E68" s="7" t="s">
        <v>50</v>
      </c>
      <c r="F68" s="7" t="s">
        <v>85</v>
      </c>
      <c r="G68" s="7">
        <v>4</v>
      </c>
      <c r="H68" s="9">
        <v>5</v>
      </c>
      <c r="I68" s="9">
        <v>20</v>
      </c>
      <c r="J68" s="9">
        <v>13.7</v>
      </c>
      <c r="K68" s="9">
        <f t="shared" si="15"/>
        <v>6.3000000000000007</v>
      </c>
      <c r="L68" s="15">
        <f t="shared" si="16"/>
        <v>0.31500000000000006</v>
      </c>
      <c r="M68" s="15">
        <f>_xlfn.XLOOKUP(F68,Menu_Lookup!$A$2:$A$11,Menu_Lookup!$C$2:$C$11,"NOT FOUND")</f>
        <v>0.34</v>
      </c>
      <c r="N68" s="19">
        <f t="shared" si="17"/>
        <v>6.8000000000000007</v>
      </c>
      <c r="O68" s="7" t="s">
        <v>60</v>
      </c>
      <c r="P68" s="7" t="str">
        <f t="shared" si="18"/>
        <v>OK</v>
      </c>
      <c r="Q68" s="7" t="str">
        <f t="shared" si="19"/>
        <v>OK</v>
      </c>
      <c r="R68" s="7" t="str">
        <f t="shared" si="20"/>
        <v>OK</v>
      </c>
      <c r="S68" s="7" t="str">
        <f t="shared" si="21"/>
        <v>OK</v>
      </c>
      <c r="T68" s="7" t="str">
        <f t="shared" si="22"/>
        <v>OK</v>
      </c>
    </row>
    <row r="69" spans="1:20">
      <c r="A69" s="7" t="s">
        <v>138</v>
      </c>
      <c r="B69" s="8">
        <v>46250</v>
      </c>
      <c r="C69" s="7" t="s">
        <v>64</v>
      </c>
      <c r="D69" s="7" t="s">
        <v>59</v>
      </c>
      <c r="E69" s="7" t="s">
        <v>68</v>
      </c>
      <c r="F69" s="7" t="s">
        <v>96</v>
      </c>
      <c r="G69" s="7">
        <v>3</v>
      </c>
      <c r="H69" s="9">
        <v>4.5</v>
      </c>
      <c r="I69" s="9">
        <v>13.5</v>
      </c>
      <c r="J69" s="9">
        <v>9.16</v>
      </c>
      <c r="K69" s="9">
        <f t="shared" si="15"/>
        <v>4.34</v>
      </c>
      <c r="L69" s="15">
        <f t="shared" si="16"/>
        <v>0.32148148148148148</v>
      </c>
      <c r="M69" s="15">
        <f>_xlfn.XLOOKUP(F69,Menu_Lookup!$A$2:$A$11,Menu_Lookup!$C$2:$C$11,"NOT FOUND")</f>
        <v>0.32</v>
      </c>
      <c r="N69" s="19">
        <f t="shared" si="17"/>
        <v>4.32</v>
      </c>
      <c r="O69" s="7" t="s">
        <v>52</v>
      </c>
      <c r="P69" s="7" t="str">
        <f t="shared" si="18"/>
        <v>OK</v>
      </c>
      <c r="Q69" s="7" t="str">
        <f t="shared" si="19"/>
        <v>OK</v>
      </c>
      <c r="R69" s="7" t="str">
        <f t="shared" si="20"/>
        <v>OK</v>
      </c>
      <c r="S69" s="7" t="str">
        <f t="shared" si="21"/>
        <v>OK</v>
      </c>
      <c r="T69" s="7" t="str">
        <f t="shared" si="22"/>
        <v>OK</v>
      </c>
    </row>
    <row r="70" spans="1:20">
      <c r="A70" s="7" t="s">
        <v>139</v>
      </c>
      <c r="B70" s="8">
        <v>46246</v>
      </c>
      <c r="C70" s="7" t="s">
        <v>64</v>
      </c>
      <c r="D70" s="7" t="s">
        <v>72</v>
      </c>
      <c r="E70" s="7" t="s">
        <v>55</v>
      </c>
      <c r="F70" s="7" t="s">
        <v>56</v>
      </c>
      <c r="G70" s="7">
        <v>4</v>
      </c>
      <c r="H70" s="9">
        <v>1.2</v>
      </c>
      <c r="I70" s="9">
        <v>4.8</v>
      </c>
      <c r="J70" s="9">
        <v>1.83</v>
      </c>
      <c r="K70" s="9">
        <f t="shared" si="15"/>
        <v>2.9699999999999998</v>
      </c>
      <c r="L70" s="15">
        <f t="shared" si="16"/>
        <v>0.61875000000000002</v>
      </c>
      <c r="M70" s="15">
        <f>_xlfn.XLOOKUP(F70,Menu_Lookup!$A$2:$A$11,Menu_Lookup!$C$2:$C$11,"NOT FOUND")</f>
        <v>0.55000000000000004</v>
      </c>
      <c r="N70" s="19">
        <f t="shared" si="17"/>
        <v>2.64</v>
      </c>
      <c r="O70" s="7" t="s">
        <v>52</v>
      </c>
      <c r="P70" s="7" t="str">
        <f t="shared" si="18"/>
        <v>OK</v>
      </c>
      <c r="Q70" s="7" t="str">
        <f t="shared" si="19"/>
        <v>OK</v>
      </c>
      <c r="R70" s="7" t="str">
        <f t="shared" si="20"/>
        <v>OK</v>
      </c>
      <c r="S70" s="7" t="str">
        <f t="shared" si="21"/>
        <v>OK</v>
      </c>
      <c r="T70" s="7" t="str">
        <f t="shared" si="22"/>
        <v>OK</v>
      </c>
    </row>
    <row r="71" spans="1:20">
      <c r="A71" s="7" t="s">
        <v>140</v>
      </c>
      <c r="B71" s="8">
        <v>46250</v>
      </c>
      <c r="C71" s="7" t="s">
        <v>64</v>
      </c>
      <c r="D71" s="7" t="s">
        <v>72</v>
      </c>
      <c r="E71" s="7" t="s">
        <v>55</v>
      </c>
      <c r="F71" s="7" t="s">
        <v>62</v>
      </c>
      <c r="G71" s="7">
        <v>6</v>
      </c>
      <c r="H71" s="9">
        <v>7</v>
      </c>
      <c r="I71" s="9">
        <v>42</v>
      </c>
      <c r="J71" s="9">
        <v>26.91</v>
      </c>
      <c r="K71" s="9">
        <f t="shared" si="15"/>
        <v>15.09</v>
      </c>
      <c r="L71" s="15">
        <f t="shared" si="16"/>
        <v>0.35928571428571426</v>
      </c>
      <c r="M71" s="15">
        <f>_xlfn.XLOOKUP(F71,Menu_Lookup!$A$2:$A$11,Menu_Lookup!$C$2:$C$11,"NOT FOUND")</f>
        <v>0.36</v>
      </c>
      <c r="N71" s="19">
        <f t="shared" si="17"/>
        <v>15.12</v>
      </c>
      <c r="O71" s="7" t="s">
        <v>60</v>
      </c>
      <c r="P71" s="7" t="str">
        <f t="shared" si="18"/>
        <v>OK</v>
      </c>
      <c r="Q71" s="7" t="str">
        <f t="shared" si="19"/>
        <v>OK</v>
      </c>
      <c r="R71" s="7" t="str">
        <f t="shared" si="20"/>
        <v>OK</v>
      </c>
      <c r="S71" s="7" t="str">
        <f t="shared" si="21"/>
        <v>OK</v>
      </c>
      <c r="T71" s="7" t="str">
        <f t="shared" si="22"/>
        <v>OK</v>
      </c>
    </row>
    <row r="72" spans="1:20">
      <c r="A72" s="7" t="s">
        <v>141</v>
      </c>
      <c r="B72" s="8">
        <v>46239</v>
      </c>
      <c r="C72" s="7" t="s">
        <v>64</v>
      </c>
      <c r="D72" s="7" t="s">
        <v>72</v>
      </c>
      <c r="E72" s="7" t="s">
        <v>50</v>
      </c>
      <c r="F72" s="7" t="s">
        <v>100</v>
      </c>
      <c r="G72" s="7">
        <v>3</v>
      </c>
      <c r="H72" s="9">
        <v>3.8</v>
      </c>
      <c r="I72" s="9">
        <v>11.4</v>
      </c>
      <c r="J72" s="9">
        <v>6.26</v>
      </c>
      <c r="K72" s="9">
        <f t="shared" si="15"/>
        <v>5.1400000000000006</v>
      </c>
      <c r="L72" s="15">
        <f t="shared" si="16"/>
        <v>0.45087719298245615</v>
      </c>
      <c r="M72" s="15">
        <f>_xlfn.XLOOKUP(F72,Menu_Lookup!$A$2:$A$11,Menu_Lookup!$C$2:$C$11,"NOT FOUND")</f>
        <v>0.42</v>
      </c>
      <c r="N72" s="19">
        <f t="shared" si="17"/>
        <v>4.7880000000000003</v>
      </c>
      <c r="O72" s="7" t="s">
        <v>60</v>
      </c>
      <c r="P72" s="7" t="str">
        <f t="shared" si="18"/>
        <v>OK</v>
      </c>
      <c r="Q72" s="7" t="str">
        <f t="shared" si="19"/>
        <v>OK</v>
      </c>
      <c r="R72" s="7" t="str">
        <f t="shared" si="20"/>
        <v>OK</v>
      </c>
      <c r="S72" s="7" t="str">
        <f t="shared" si="21"/>
        <v>OK</v>
      </c>
      <c r="T72" s="7" t="str">
        <f t="shared" si="22"/>
        <v>OK</v>
      </c>
    </row>
    <row r="73" spans="1:20">
      <c r="A73" s="7" t="s">
        <v>142</v>
      </c>
      <c r="B73" s="8">
        <v>46242</v>
      </c>
      <c r="C73" s="7" t="s">
        <v>64</v>
      </c>
      <c r="D73" s="7" t="s">
        <v>49</v>
      </c>
      <c r="E73" s="7" t="s">
        <v>50</v>
      </c>
      <c r="F73" s="7" t="s">
        <v>56</v>
      </c>
      <c r="G73" s="7">
        <v>3</v>
      </c>
      <c r="H73" s="9">
        <v>1.2</v>
      </c>
      <c r="I73" s="9">
        <v>3.6</v>
      </c>
      <c r="J73" s="9">
        <v>1.52</v>
      </c>
      <c r="K73" s="9">
        <f t="shared" si="15"/>
        <v>2.08</v>
      </c>
      <c r="L73" s="15">
        <f t="shared" si="16"/>
        <v>0.57777777777777783</v>
      </c>
      <c r="M73" s="15">
        <f>_xlfn.XLOOKUP(F73,Menu_Lookup!$A$2:$A$11,Menu_Lookup!$C$2:$C$11,"NOT FOUND")</f>
        <v>0.55000000000000004</v>
      </c>
      <c r="N73" s="19">
        <f t="shared" si="17"/>
        <v>1.9800000000000002</v>
      </c>
      <c r="O73" s="7" t="s">
        <v>60</v>
      </c>
      <c r="P73" s="7" t="str">
        <f t="shared" si="18"/>
        <v>OK</v>
      </c>
      <c r="Q73" s="7" t="str">
        <f t="shared" si="19"/>
        <v>OK</v>
      </c>
      <c r="R73" s="7" t="str">
        <f t="shared" si="20"/>
        <v>OK</v>
      </c>
      <c r="S73" s="7" t="str">
        <f t="shared" si="21"/>
        <v>OK</v>
      </c>
      <c r="T73" s="7" t="str">
        <f t="shared" si="22"/>
        <v>OK</v>
      </c>
    </row>
    <row r="74" spans="1:20">
      <c r="A74" s="7" t="s">
        <v>143</v>
      </c>
      <c r="B74" s="8">
        <v>46277</v>
      </c>
      <c r="C74" s="7" t="s">
        <v>64</v>
      </c>
      <c r="D74" s="7" t="s">
        <v>59</v>
      </c>
      <c r="E74" s="7" t="s">
        <v>68</v>
      </c>
      <c r="F74" s="7" t="s">
        <v>65</v>
      </c>
      <c r="G74" s="7">
        <v>4</v>
      </c>
      <c r="H74" s="9">
        <v>5.5</v>
      </c>
      <c r="I74" s="9">
        <v>22</v>
      </c>
      <c r="J74" s="9">
        <v>14.49</v>
      </c>
      <c r="K74" s="9">
        <f t="shared" si="15"/>
        <v>7.51</v>
      </c>
      <c r="L74" s="15">
        <f t="shared" si="16"/>
        <v>0.34136363636363637</v>
      </c>
      <c r="M74" s="15">
        <f>_xlfn.XLOOKUP(F74,Menu_Lookup!$A$2:$A$11,Menu_Lookup!$C$2:$C$11,"NOT FOUND")</f>
        <v>0.33</v>
      </c>
      <c r="N74" s="19">
        <f t="shared" si="17"/>
        <v>7.2600000000000007</v>
      </c>
      <c r="O74" s="7" t="s">
        <v>52</v>
      </c>
      <c r="P74" s="7" t="str">
        <f t="shared" si="18"/>
        <v>OK</v>
      </c>
      <c r="Q74" s="7" t="str">
        <f t="shared" si="19"/>
        <v>OK</v>
      </c>
      <c r="R74" s="7" t="str">
        <f t="shared" si="20"/>
        <v>OK</v>
      </c>
      <c r="S74" s="7" t="str">
        <f t="shared" si="21"/>
        <v>OK</v>
      </c>
      <c r="T74" s="7" t="str">
        <f t="shared" si="22"/>
        <v>OK</v>
      </c>
    </row>
    <row r="75" spans="1:20">
      <c r="A75" s="7" t="s">
        <v>144</v>
      </c>
      <c r="B75" s="8">
        <v>46261</v>
      </c>
      <c r="C75" s="7" t="s">
        <v>64</v>
      </c>
      <c r="D75" s="7" t="s">
        <v>72</v>
      </c>
      <c r="E75" s="7" t="s">
        <v>50</v>
      </c>
      <c r="F75" s="7" t="s">
        <v>85</v>
      </c>
      <c r="G75" s="7">
        <v>5</v>
      </c>
      <c r="H75" s="9">
        <v>5</v>
      </c>
      <c r="I75" s="9">
        <v>25</v>
      </c>
      <c r="J75" s="9">
        <v>16.260000000000002</v>
      </c>
      <c r="K75" s="9">
        <f t="shared" si="15"/>
        <v>8.7399999999999984</v>
      </c>
      <c r="L75" s="15">
        <f t="shared" si="16"/>
        <v>0.34959999999999991</v>
      </c>
      <c r="M75" s="15">
        <f>_xlfn.XLOOKUP(F75,Menu_Lookup!$A$2:$A$11,Menu_Lookup!$C$2:$C$11,"NOT FOUND")</f>
        <v>0.34</v>
      </c>
      <c r="N75" s="19">
        <f t="shared" si="17"/>
        <v>8.5</v>
      </c>
      <c r="O75" s="7" t="s">
        <v>60</v>
      </c>
      <c r="P75" s="7" t="str">
        <f t="shared" si="18"/>
        <v>OK</v>
      </c>
      <c r="Q75" s="7" t="str">
        <f t="shared" si="19"/>
        <v>OK</v>
      </c>
      <c r="R75" s="7" t="str">
        <f t="shared" si="20"/>
        <v>OK</v>
      </c>
      <c r="S75" s="7" t="str">
        <f t="shared" si="21"/>
        <v>OK</v>
      </c>
      <c r="T75" s="7" t="str">
        <f t="shared" si="22"/>
        <v>OK</v>
      </c>
    </row>
    <row r="76" spans="1:20">
      <c r="A76" s="7" t="s">
        <v>145</v>
      </c>
      <c r="B76" s="8">
        <v>46274</v>
      </c>
      <c r="C76" s="7" t="s">
        <v>64</v>
      </c>
      <c r="D76" s="7" t="s">
        <v>49</v>
      </c>
      <c r="E76" s="7" t="s">
        <v>55</v>
      </c>
      <c r="F76" s="7" t="s">
        <v>85</v>
      </c>
      <c r="G76" s="7">
        <v>5</v>
      </c>
      <c r="H76" s="9">
        <v>5</v>
      </c>
      <c r="I76" s="9">
        <v>25</v>
      </c>
      <c r="J76" s="9">
        <v>16.7</v>
      </c>
      <c r="K76" s="9">
        <f t="shared" si="15"/>
        <v>8.3000000000000007</v>
      </c>
      <c r="L76" s="15">
        <f t="shared" si="16"/>
        <v>0.33200000000000002</v>
      </c>
      <c r="M76" s="15">
        <f>_xlfn.XLOOKUP(F76,Menu_Lookup!$A$2:$A$11,Menu_Lookup!$C$2:$C$11,"NOT FOUND")</f>
        <v>0.34</v>
      </c>
      <c r="N76" s="19">
        <f t="shared" si="17"/>
        <v>8.5</v>
      </c>
      <c r="O76" s="7" t="s">
        <v>60</v>
      </c>
      <c r="P76" s="7" t="str">
        <f t="shared" si="18"/>
        <v>OK</v>
      </c>
      <c r="Q76" s="7" t="str">
        <f t="shared" si="19"/>
        <v>OK</v>
      </c>
      <c r="R76" s="7" t="str">
        <f t="shared" si="20"/>
        <v>OK</v>
      </c>
      <c r="S76" s="7" t="str">
        <f t="shared" si="21"/>
        <v>OK</v>
      </c>
      <c r="T76" s="7" t="str">
        <f t="shared" si="22"/>
        <v>OK</v>
      </c>
    </row>
    <row r="77" spans="1:20">
      <c r="A77" s="7" t="s">
        <v>146</v>
      </c>
      <c r="B77" s="8">
        <v>46263</v>
      </c>
      <c r="C77" s="7" t="s">
        <v>64</v>
      </c>
      <c r="D77" s="7" t="s">
        <v>49</v>
      </c>
      <c r="E77" s="7" t="s">
        <v>50</v>
      </c>
      <c r="F77" s="7" t="s">
        <v>89</v>
      </c>
      <c r="G77" s="7">
        <v>6</v>
      </c>
      <c r="H77" s="9">
        <v>6</v>
      </c>
      <c r="I77" s="9">
        <v>36</v>
      </c>
      <c r="J77" s="9">
        <v>22.25</v>
      </c>
      <c r="K77" s="9">
        <f t="shared" si="15"/>
        <v>13.75</v>
      </c>
      <c r="L77" s="15">
        <f t="shared" si="16"/>
        <v>0.38194444444444442</v>
      </c>
      <c r="M77" s="15">
        <f>_xlfn.XLOOKUP(F77,Menu_Lookup!$A$2:$A$11,Menu_Lookup!$C$2:$C$11,"NOT FOUND")</f>
        <v>0.38</v>
      </c>
      <c r="N77" s="19">
        <f t="shared" si="17"/>
        <v>13.68</v>
      </c>
      <c r="O77" s="7" t="s">
        <v>60</v>
      </c>
      <c r="P77" s="7" t="str">
        <f t="shared" si="18"/>
        <v>OK</v>
      </c>
      <c r="Q77" s="7" t="str">
        <f t="shared" si="19"/>
        <v>OK</v>
      </c>
      <c r="R77" s="7" t="str">
        <f t="shared" si="20"/>
        <v>OK</v>
      </c>
      <c r="S77" s="7" t="str">
        <f t="shared" si="21"/>
        <v>OK</v>
      </c>
      <c r="T77" s="7" t="str">
        <f t="shared" si="22"/>
        <v>OK</v>
      </c>
    </row>
    <row r="78" spans="1:20">
      <c r="A78" s="7" t="s">
        <v>147</v>
      </c>
      <c r="B78" s="8">
        <v>46295</v>
      </c>
      <c r="C78" s="7" t="s">
        <v>64</v>
      </c>
      <c r="D78" s="7" t="s">
        <v>72</v>
      </c>
      <c r="E78" s="7" t="s">
        <v>68</v>
      </c>
      <c r="F78" s="7" t="s">
        <v>70</v>
      </c>
      <c r="G78" s="7">
        <v>4</v>
      </c>
      <c r="H78" s="9">
        <v>2.5</v>
      </c>
      <c r="I78" s="9">
        <v>10</v>
      </c>
      <c r="J78" s="9">
        <v>4.99</v>
      </c>
      <c r="K78" s="9">
        <f t="shared" si="15"/>
        <v>5.01</v>
      </c>
      <c r="L78" s="15">
        <f t="shared" si="16"/>
        <v>0.501</v>
      </c>
      <c r="M78" s="15">
        <f>_xlfn.XLOOKUP(F78,Menu_Lookup!$A$2:$A$11,Menu_Lookup!$C$2:$C$11,"NOT FOUND")</f>
        <v>0.48</v>
      </c>
      <c r="N78" s="19">
        <f t="shared" si="17"/>
        <v>4.8</v>
      </c>
      <c r="O78" s="7" t="s">
        <v>60</v>
      </c>
      <c r="P78" s="7" t="str">
        <f t="shared" si="18"/>
        <v>OK</v>
      </c>
      <c r="Q78" s="7" t="str">
        <f t="shared" si="19"/>
        <v>OK</v>
      </c>
      <c r="R78" s="7" t="str">
        <f t="shared" si="20"/>
        <v>OK</v>
      </c>
      <c r="S78" s="7" t="str">
        <f t="shared" si="21"/>
        <v>OK</v>
      </c>
      <c r="T78" s="7" t="str">
        <f t="shared" si="22"/>
        <v>OK</v>
      </c>
    </row>
    <row r="79" spans="1:20">
      <c r="A79" s="7" t="s">
        <v>148</v>
      </c>
      <c r="B79" s="8">
        <v>46259</v>
      </c>
      <c r="C79" s="7" t="s">
        <v>64</v>
      </c>
      <c r="D79" s="7" t="s">
        <v>59</v>
      </c>
      <c r="E79" s="7" t="s">
        <v>50</v>
      </c>
      <c r="F79" s="7" t="s">
        <v>85</v>
      </c>
      <c r="G79" s="7">
        <v>4</v>
      </c>
      <c r="H79" s="9">
        <v>5</v>
      </c>
      <c r="I79" s="9">
        <v>20</v>
      </c>
      <c r="J79" s="9">
        <v>13.19</v>
      </c>
      <c r="K79" s="9">
        <f t="shared" si="15"/>
        <v>6.8100000000000005</v>
      </c>
      <c r="L79" s="15">
        <f t="shared" si="16"/>
        <v>0.34050000000000002</v>
      </c>
      <c r="M79" s="15">
        <f>_xlfn.XLOOKUP(F79,Menu_Lookup!$A$2:$A$11,Menu_Lookup!$C$2:$C$11,"NOT FOUND")</f>
        <v>0.34</v>
      </c>
      <c r="N79" s="19">
        <f t="shared" si="17"/>
        <v>6.8000000000000007</v>
      </c>
      <c r="O79" s="7" t="s">
        <v>60</v>
      </c>
      <c r="P79" s="7" t="str">
        <f t="shared" si="18"/>
        <v>OK</v>
      </c>
      <c r="Q79" s="7" t="str">
        <f t="shared" si="19"/>
        <v>OK</v>
      </c>
      <c r="R79" s="7" t="str">
        <f t="shared" si="20"/>
        <v>OK</v>
      </c>
      <c r="S79" s="7" t="str">
        <f t="shared" si="21"/>
        <v>OK</v>
      </c>
      <c r="T79" s="7" t="str">
        <f t="shared" si="22"/>
        <v>OK</v>
      </c>
    </row>
    <row r="80" spans="1:20">
      <c r="A80" s="7" t="s">
        <v>149</v>
      </c>
      <c r="B80" s="8">
        <v>46255</v>
      </c>
      <c r="C80" s="7" t="s">
        <v>64</v>
      </c>
      <c r="D80" s="7" t="s">
        <v>72</v>
      </c>
      <c r="E80" s="7" t="s">
        <v>68</v>
      </c>
      <c r="F80" s="7" t="s">
        <v>100</v>
      </c>
      <c r="G80" s="7">
        <v>3</v>
      </c>
      <c r="H80" s="9">
        <v>3.8</v>
      </c>
      <c r="I80" s="9">
        <v>11.4</v>
      </c>
      <c r="J80" s="9">
        <v>6.22</v>
      </c>
      <c r="K80" s="9">
        <f t="shared" si="15"/>
        <v>5.1800000000000006</v>
      </c>
      <c r="L80" s="15">
        <f t="shared" si="16"/>
        <v>0.45438596491228073</v>
      </c>
      <c r="M80" s="15">
        <f>_xlfn.XLOOKUP(F80,Menu_Lookup!$A$2:$A$11,Menu_Lookup!$C$2:$C$11,"NOT FOUND")</f>
        <v>0.42</v>
      </c>
      <c r="N80" s="19">
        <f t="shared" si="17"/>
        <v>4.7880000000000003</v>
      </c>
      <c r="O80" s="7" t="s">
        <v>60</v>
      </c>
      <c r="P80" s="7" t="str">
        <f t="shared" si="18"/>
        <v>OK</v>
      </c>
      <c r="Q80" s="7" t="str">
        <f t="shared" si="19"/>
        <v>OK</v>
      </c>
      <c r="R80" s="7" t="str">
        <f t="shared" si="20"/>
        <v>OK</v>
      </c>
      <c r="S80" s="7" t="str">
        <f t="shared" si="21"/>
        <v>OK</v>
      </c>
      <c r="T80" s="7" t="str">
        <f t="shared" si="22"/>
        <v>OK</v>
      </c>
    </row>
    <row r="81" spans="1:20">
      <c r="A81" s="7" t="s">
        <v>150</v>
      </c>
      <c r="B81" s="8">
        <v>46264</v>
      </c>
      <c r="C81" s="7" t="s">
        <v>75</v>
      </c>
      <c r="D81" s="7" t="s">
        <v>72</v>
      </c>
      <c r="E81" s="7" t="s">
        <v>50</v>
      </c>
      <c r="F81" s="7" t="s">
        <v>56</v>
      </c>
      <c r="G81" s="7">
        <v>6</v>
      </c>
      <c r="H81" s="9">
        <v>1.2</v>
      </c>
      <c r="I81" s="9">
        <v>7.2</v>
      </c>
      <c r="J81" s="9">
        <v>2.79</v>
      </c>
      <c r="K81" s="9">
        <f t="shared" si="15"/>
        <v>4.41</v>
      </c>
      <c r="L81" s="15">
        <f t="shared" si="16"/>
        <v>0.61250000000000004</v>
      </c>
      <c r="M81" s="15">
        <f>_xlfn.XLOOKUP(F81,Menu_Lookup!$A$2:$A$11,Menu_Lookup!$C$2:$C$11,"NOT FOUND")</f>
        <v>0.55000000000000004</v>
      </c>
      <c r="N81" s="19">
        <f t="shared" si="17"/>
        <v>3.9600000000000004</v>
      </c>
      <c r="O81" s="7" t="s">
        <v>52</v>
      </c>
      <c r="P81" s="7" t="str">
        <f t="shared" si="18"/>
        <v>OK</v>
      </c>
      <c r="Q81" s="7" t="str">
        <f t="shared" si="19"/>
        <v>OK</v>
      </c>
      <c r="R81" s="7" t="str">
        <f t="shared" si="20"/>
        <v>OK</v>
      </c>
      <c r="S81" s="7" t="str">
        <f t="shared" si="21"/>
        <v>OK</v>
      </c>
      <c r="T81" s="7" t="str">
        <f t="shared" si="22"/>
        <v>OK</v>
      </c>
    </row>
    <row r="82" spans="1:20">
      <c r="A82" s="7" t="s">
        <v>151</v>
      </c>
      <c r="B82" s="8">
        <v>46273</v>
      </c>
      <c r="C82" s="7" t="s">
        <v>75</v>
      </c>
      <c r="D82" s="7" t="s">
        <v>59</v>
      </c>
      <c r="E82" s="7" t="s">
        <v>68</v>
      </c>
      <c r="F82" s="7" t="s">
        <v>70</v>
      </c>
      <c r="G82" s="7">
        <v>1</v>
      </c>
      <c r="H82" s="9">
        <v>2.5</v>
      </c>
      <c r="I82" s="9">
        <v>2.5</v>
      </c>
      <c r="J82" s="9">
        <v>1.24</v>
      </c>
      <c r="K82" s="9">
        <f t="shared" si="15"/>
        <v>1.26</v>
      </c>
      <c r="L82" s="15">
        <f t="shared" si="16"/>
        <v>0.504</v>
      </c>
      <c r="M82" s="15">
        <f>_xlfn.XLOOKUP(F82,Menu_Lookup!$A$2:$A$11,Menu_Lookup!$C$2:$C$11,"NOT FOUND")</f>
        <v>0.48</v>
      </c>
      <c r="N82" s="19">
        <f t="shared" si="17"/>
        <v>1.2</v>
      </c>
      <c r="O82" s="7" t="s">
        <v>52</v>
      </c>
      <c r="P82" s="7" t="str">
        <f t="shared" si="18"/>
        <v>OK</v>
      </c>
      <c r="Q82" s="7" t="str">
        <f t="shared" si="19"/>
        <v>OK</v>
      </c>
      <c r="R82" s="7" t="str">
        <f t="shared" si="20"/>
        <v>OK</v>
      </c>
      <c r="S82" s="7" t="str">
        <f t="shared" si="21"/>
        <v>OK</v>
      </c>
      <c r="T82" s="7" t="str">
        <f t="shared" si="22"/>
        <v>OK</v>
      </c>
    </row>
    <row r="83" spans="1:20">
      <c r="A83" s="7" t="s">
        <v>152</v>
      </c>
      <c r="B83" s="8">
        <v>46248</v>
      </c>
      <c r="C83" s="7" t="s">
        <v>75</v>
      </c>
      <c r="D83" s="7" t="s">
        <v>49</v>
      </c>
      <c r="E83" s="7" t="s">
        <v>55</v>
      </c>
      <c r="F83" s="7" t="s">
        <v>89</v>
      </c>
      <c r="G83" s="7">
        <v>4</v>
      </c>
      <c r="H83" s="9">
        <v>6</v>
      </c>
      <c r="I83" s="9">
        <v>24</v>
      </c>
      <c r="J83" s="9">
        <v>14.38</v>
      </c>
      <c r="K83" s="9">
        <f t="shared" si="15"/>
        <v>9.6199999999999992</v>
      </c>
      <c r="L83" s="15">
        <f t="shared" si="16"/>
        <v>0.40083333333333332</v>
      </c>
      <c r="M83" s="15">
        <f>_xlfn.XLOOKUP(F83,Menu_Lookup!$A$2:$A$11,Menu_Lookup!$C$2:$C$11,"NOT FOUND")</f>
        <v>0.38</v>
      </c>
      <c r="N83" s="19">
        <f t="shared" si="17"/>
        <v>9.120000000000001</v>
      </c>
      <c r="O83" s="7" t="s">
        <v>60</v>
      </c>
      <c r="P83" s="7" t="str">
        <f t="shared" si="18"/>
        <v>OK</v>
      </c>
      <c r="Q83" s="7" t="str">
        <f t="shared" si="19"/>
        <v>OK</v>
      </c>
      <c r="R83" s="7" t="str">
        <f t="shared" si="20"/>
        <v>OK</v>
      </c>
      <c r="S83" s="7" t="str">
        <f t="shared" si="21"/>
        <v>OK</v>
      </c>
      <c r="T83" s="7" t="str">
        <f t="shared" si="22"/>
        <v>OK</v>
      </c>
    </row>
    <row r="84" spans="1:20">
      <c r="A84" s="7" t="s">
        <v>153</v>
      </c>
      <c r="B84" s="8">
        <v>46285</v>
      </c>
      <c r="C84" s="7" t="s">
        <v>75</v>
      </c>
      <c r="D84" s="7" t="s">
        <v>72</v>
      </c>
      <c r="E84" s="7" t="s">
        <v>68</v>
      </c>
      <c r="F84" s="7" t="s">
        <v>96</v>
      </c>
      <c r="G84" s="7">
        <v>4</v>
      </c>
      <c r="H84" s="9">
        <v>4.5</v>
      </c>
      <c r="I84" s="9">
        <v>18</v>
      </c>
      <c r="J84" s="9">
        <v>12.39</v>
      </c>
      <c r="K84" s="9">
        <f t="shared" si="15"/>
        <v>5.6099999999999994</v>
      </c>
      <c r="L84" s="15">
        <f t="shared" si="16"/>
        <v>0.31166666666666665</v>
      </c>
      <c r="M84" s="15">
        <f>_xlfn.XLOOKUP(F84,Menu_Lookup!$A$2:$A$11,Menu_Lookup!$C$2:$C$11,"NOT FOUND")</f>
        <v>0.32</v>
      </c>
      <c r="N84" s="19">
        <f t="shared" si="17"/>
        <v>5.76</v>
      </c>
      <c r="O84" s="7" t="s">
        <v>60</v>
      </c>
      <c r="P84" s="7" t="str">
        <f t="shared" si="18"/>
        <v>OK</v>
      </c>
      <c r="Q84" s="7" t="str">
        <f t="shared" si="19"/>
        <v>OK</v>
      </c>
      <c r="R84" s="7" t="str">
        <f t="shared" si="20"/>
        <v>OK</v>
      </c>
      <c r="S84" s="7" t="str">
        <f t="shared" si="21"/>
        <v>OK</v>
      </c>
      <c r="T84" s="7" t="str">
        <f t="shared" si="22"/>
        <v>OK</v>
      </c>
    </row>
    <row r="85" spans="1:20">
      <c r="A85" s="7" t="s">
        <v>154</v>
      </c>
      <c r="B85" s="8">
        <v>46291</v>
      </c>
      <c r="C85" s="7" t="s">
        <v>75</v>
      </c>
      <c r="D85" s="7" t="s">
        <v>59</v>
      </c>
      <c r="E85" s="7" t="s">
        <v>50</v>
      </c>
      <c r="F85" s="7" t="s">
        <v>51</v>
      </c>
      <c r="G85" s="7">
        <v>3</v>
      </c>
      <c r="H85" s="9">
        <v>5.5</v>
      </c>
      <c r="I85" s="9">
        <v>16.5</v>
      </c>
      <c r="J85" s="9">
        <v>11.62</v>
      </c>
      <c r="K85" s="9">
        <f t="shared" si="15"/>
        <v>4.8800000000000008</v>
      </c>
      <c r="L85" s="15">
        <f t="shared" si="16"/>
        <v>0.29575757575757583</v>
      </c>
      <c r="M85" s="15">
        <f>_xlfn.XLOOKUP(F85,Menu_Lookup!$A$2:$A$11,Menu_Lookup!$C$2:$C$11,"NOT FOUND")</f>
        <v>0.35</v>
      </c>
      <c r="N85" s="19">
        <f t="shared" si="17"/>
        <v>5.7749999999999995</v>
      </c>
      <c r="O85" s="7" t="s">
        <v>52</v>
      </c>
      <c r="P85" s="7" t="str">
        <f t="shared" si="18"/>
        <v>OK</v>
      </c>
      <c r="Q85" s="7" t="str">
        <f t="shared" si="19"/>
        <v>OK</v>
      </c>
      <c r="R85" s="7" t="str">
        <f t="shared" si="20"/>
        <v>OK</v>
      </c>
      <c r="S85" s="7" t="str">
        <f t="shared" si="21"/>
        <v>OK</v>
      </c>
      <c r="T85" s="7" t="str">
        <f t="shared" si="22"/>
        <v>OK</v>
      </c>
    </row>
    <row r="86" spans="1:20">
      <c r="A86" s="7" t="s">
        <v>155</v>
      </c>
      <c r="B86" s="8">
        <v>46289</v>
      </c>
      <c r="C86" s="7" t="s">
        <v>75</v>
      </c>
      <c r="D86" s="7" t="s">
        <v>49</v>
      </c>
      <c r="E86" s="7" t="s">
        <v>55</v>
      </c>
      <c r="F86" s="7" t="s">
        <v>51</v>
      </c>
      <c r="G86" s="7">
        <v>4</v>
      </c>
      <c r="H86" s="9">
        <v>5.5</v>
      </c>
      <c r="I86" s="9">
        <v>22</v>
      </c>
      <c r="J86" s="9">
        <v>15.59</v>
      </c>
      <c r="K86" s="9">
        <f t="shared" si="15"/>
        <v>6.41</v>
      </c>
      <c r="L86" s="15">
        <f t="shared" si="16"/>
        <v>0.29136363636363638</v>
      </c>
      <c r="M86" s="15">
        <f>_xlfn.XLOOKUP(F86,Menu_Lookup!$A$2:$A$11,Menu_Lookup!$C$2:$C$11,"NOT FOUND")</f>
        <v>0.35</v>
      </c>
      <c r="N86" s="19">
        <f t="shared" si="17"/>
        <v>7.6999999999999993</v>
      </c>
      <c r="O86" s="7" t="s">
        <v>60</v>
      </c>
      <c r="P86" s="7" t="str">
        <f t="shared" si="18"/>
        <v>OK</v>
      </c>
      <c r="Q86" s="7" t="str">
        <f t="shared" si="19"/>
        <v>OK</v>
      </c>
      <c r="R86" s="7" t="str">
        <f t="shared" si="20"/>
        <v>OK</v>
      </c>
      <c r="S86" s="7" t="str">
        <f t="shared" si="21"/>
        <v>OK</v>
      </c>
      <c r="T86" s="7" t="str">
        <f t="shared" si="22"/>
        <v>OK</v>
      </c>
    </row>
    <row r="87" spans="1:20">
      <c r="A87" s="7" t="s">
        <v>156</v>
      </c>
      <c r="B87" s="8">
        <v>46277</v>
      </c>
      <c r="C87" s="7" t="s">
        <v>75</v>
      </c>
      <c r="D87" s="7" t="s">
        <v>59</v>
      </c>
      <c r="E87" s="7" t="s">
        <v>50</v>
      </c>
      <c r="F87" s="7" t="s">
        <v>56</v>
      </c>
      <c r="G87" s="7">
        <v>2</v>
      </c>
      <c r="H87" s="9">
        <v>1.2</v>
      </c>
      <c r="I87" s="9">
        <v>2.4</v>
      </c>
      <c r="J87" s="9">
        <v>0.92</v>
      </c>
      <c r="K87" s="9">
        <f t="shared" si="15"/>
        <v>1.48</v>
      </c>
      <c r="L87" s="15">
        <f t="shared" si="16"/>
        <v>0.6166666666666667</v>
      </c>
      <c r="M87" s="15">
        <f>_xlfn.XLOOKUP(F87,Menu_Lookup!$A$2:$A$11,Menu_Lookup!$C$2:$C$11,"NOT FOUND")</f>
        <v>0.55000000000000004</v>
      </c>
      <c r="N87" s="19">
        <f t="shared" si="17"/>
        <v>1.32</v>
      </c>
      <c r="O87" s="7" t="s">
        <v>60</v>
      </c>
      <c r="P87" s="7" t="str">
        <f t="shared" si="18"/>
        <v>OK</v>
      </c>
      <c r="Q87" s="7" t="str">
        <f t="shared" si="19"/>
        <v>OK</v>
      </c>
      <c r="R87" s="7" t="str">
        <f t="shared" si="20"/>
        <v>OK</v>
      </c>
      <c r="S87" s="7" t="str">
        <f t="shared" si="21"/>
        <v>OK</v>
      </c>
      <c r="T87" s="7" t="str">
        <f t="shared" si="22"/>
        <v>OK</v>
      </c>
    </row>
    <row r="88" spans="1:20">
      <c r="A88" s="7" t="s">
        <v>157</v>
      </c>
      <c r="B88" s="8">
        <v>46255</v>
      </c>
      <c r="C88" s="7" t="s">
        <v>75</v>
      </c>
      <c r="D88" s="7" t="s">
        <v>72</v>
      </c>
      <c r="E88" s="7" t="s">
        <v>68</v>
      </c>
      <c r="F88" s="7" t="s">
        <v>100</v>
      </c>
      <c r="G88" s="7">
        <v>5</v>
      </c>
      <c r="H88" s="9">
        <v>3.8</v>
      </c>
      <c r="I88" s="9">
        <v>19</v>
      </c>
      <c r="J88" s="9">
        <v>10.74</v>
      </c>
      <c r="K88" s="9">
        <f t="shared" si="15"/>
        <v>8.26</v>
      </c>
      <c r="L88" s="15">
        <f t="shared" si="16"/>
        <v>0.43473684210526314</v>
      </c>
      <c r="M88" s="15">
        <f>_xlfn.XLOOKUP(F88,Menu_Lookup!$A$2:$A$11,Menu_Lookup!$C$2:$C$11,"NOT FOUND")</f>
        <v>0.42</v>
      </c>
      <c r="N88" s="19">
        <f t="shared" si="17"/>
        <v>7.9799999999999995</v>
      </c>
      <c r="O88" s="7" t="s">
        <v>52</v>
      </c>
      <c r="P88" s="7" t="str">
        <f t="shared" si="18"/>
        <v>OK</v>
      </c>
      <c r="Q88" s="7" t="str">
        <f t="shared" si="19"/>
        <v>OK</v>
      </c>
      <c r="R88" s="7" t="str">
        <f t="shared" si="20"/>
        <v>OK</v>
      </c>
      <c r="S88" s="7" t="str">
        <f t="shared" si="21"/>
        <v>OK</v>
      </c>
      <c r="T88" s="7" t="str">
        <f t="shared" si="22"/>
        <v>OK</v>
      </c>
    </row>
    <row r="89" spans="1:20">
      <c r="A89" s="7" t="s">
        <v>158</v>
      </c>
      <c r="B89" s="8">
        <v>46252</v>
      </c>
      <c r="C89" s="7" t="s">
        <v>75</v>
      </c>
      <c r="D89" s="7" t="s">
        <v>49</v>
      </c>
      <c r="E89" s="7" t="s">
        <v>50</v>
      </c>
      <c r="F89" s="7" t="s">
        <v>56</v>
      </c>
      <c r="G89" s="7">
        <v>4</v>
      </c>
      <c r="H89" s="9">
        <v>1.2</v>
      </c>
      <c r="I89" s="9">
        <v>4.8</v>
      </c>
      <c r="J89" s="9">
        <v>1.95</v>
      </c>
      <c r="K89" s="9">
        <f t="shared" si="15"/>
        <v>2.8499999999999996</v>
      </c>
      <c r="L89" s="15">
        <f t="shared" si="16"/>
        <v>0.59375</v>
      </c>
      <c r="M89" s="15">
        <f>_xlfn.XLOOKUP(F89,Menu_Lookup!$A$2:$A$11,Menu_Lookup!$C$2:$C$11,"NOT FOUND")</f>
        <v>0.55000000000000004</v>
      </c>
      <c r="N89" s="19">
        <f t="shared" si="17"/>
        <v>2.64</v>
      </c>
      <c r="O89" s="7" t="s">
        <v>60</v>
      </c>
      <c r="P89" s="7" t="str">
        <f t="shared" si="18"/>
        <v>OK</v>
      </c>
      <c r="Q89" s="7" t="str">
        <f t="shared" si="19"/>
        <v>OK</v>
      </c>
      <c r="R89" s="7" t="str">
        <f t="shared" si="20"/>
        <v>OK</v>
      </c>
      <c r="S89" s="7" t="str">
        <f t="shared" si="21"/>
        <v>OK</v>
      </c>
      <c r="T89" s="7" t="str">
        <f t="shared" si="22"/>
        <v>OK</v>
      </c>
    </row>
    <row r="90" spans="1:20">
      <c r="A90" s="7" t="s">
        <v>159</v>
      </c>
      <c r="B90" s="8">
        <v>46290</v>
      </c>
      <c r="C90" s="7" t="s">
        <v>75</v>
      </c>
      <c r="D90" s="7" t="s">
        <v>49</v>
      </c>
      <c r="E90" s="7" t="s">
        <v>55</v>
      </c>
      <c r="F90" s="7" t="s">
        <v>51</v>
      </c>
      <c r="G90" s="7">
        <v>6</v>
      </c>
      <c r="H90" s="9">
        <v>5.5</v>
      </c>
      <c r="I90" s="9">
        <v>33</v>
      </c>
      <c r="J90" s="9">
        <v>22.65</v>
      </c>
      <c r="K90" s="9">
        <f t="shared" si="15"/>
        <v>10.350000000000001</v>
      </c>
      <c r="L90" s="15">
        <f t="shared" si="16"/>
        <v>0.31363636363636366</v>
      </c>
      <c r="M90" s="15">
        <f>_xlfn.XLOOKUP(F90,Menu_Lookup!$A$2:$A$11,Menu_Lookup!$C$2:$C$11,"NOT FOUND")</f>
        <v>0.35</v>
      </c>
      <c r="N90" s="19">
        <f t="shared" si="17"/>
        <v>11.549999999999999</v>
      </c>
      <c r="O90" s="7" t="s">
        <v>60</v>
      </c>
      <c r="P90" s="7" t="str">
        <f t="shared" si="18"/>
        <v>OK</v>
      </c>
      <c r="Q90" s="7" t="str">
        <f t="shared" si="19"/>
        <v>OK</v>
      </c>
      <c r="R90" s="7" t="str">
        <f t="shared" si="20"/>
        <v>OK</v>
      </c>
      <c r="S90" s="7" t="str">
        <f t="shared" si="21"/>
        <v>OK</v>
      </c>
      <c r="T90" s="7" t="str">
        <f t="shared" si="22"/>
        <v>OK</v>
      </c>
    </row>
    <row r="91" spans="1:20">
      <c r="A91" s="7" t="s">
        <v>167</v>
      </c>
      <c r="B91" s="8">
        <v>46235</v>
      </c>
      <c r="C91" s="7"/>
      <c r="D91" s="7" t="s">
        <v>59</v>
      </c>
      <c r="E91" s="7" t="s">
        <v>68</v>
      </c>
      <c r="F91" s="7" t="s">
        <v>85</v>
      </c>
      <c r="G91" s="7">
        <v>4</v>
      </c>
      <c r="H91" s="9">
        <v>5</v>
      </c>
      <c r="I91" s="9">
        <v>20</v>
      </c>
      <c r="J91" s="9">
        <v>12.86</v>
      </c>
      <c r="K91" s="9">
        <f t="shared" si="15"/>
        <v>7.1400000000000006</v>
      </c>
      <c r="L91" s="15">
        <f t="shared" si="16"/>
        <v>0.35700000000000004</v>
      </c>
      <c r="M91" s="15">
        <f>_xlfn.XLOOKUP(F91,Menu_Lookup!$A$2:$A$11,Menu_Lookup!$C$2:$C$11,"NOT FOUND")</f>
        <v>0.34</v>
      </c>
      <c r="N91" s="19">
        <f t="shared" si="17"/>
        <v>6.8000000000000007</v>
      </c>
      <c r="O91" s="7" t="s">
        <v>52</v>
      </c>
      <c r="P91" s="7" t="str">
        <f t="shared" si="18"/>
        <v>OK</v>
      </c>
      <c r="Q91" s="7" t="str">
        <f t="shared" si="19"/>
        <v>OK</v>
      </c>
      <c r="R91" s="7" t="str">
        <f t="shared" si="20"/>
        <v>CHECK</v>
      </c>
      <c r="S91" s="7" t="str">
        <f t="shared" si="21"/>
        <v>OK</v>
      </c>
      <c r="T91" s="7" t="str">
        <f t="shared" si="22"/>
        <v>OK</v>
      </c>
    </row>
    <row r="92" spans="1:20" s="27" customFormat="1" ht="17.5">
      <c r="A92" s="11" t="s">
        <v>173</v>
      </c>
      <c r="B92" s="11"/>
      <c r="C92" s="11"/>
      <c r="D92" s="11"/>
      <c r="E92" s="11"/>
      <c r="F92" s="11"/>
      <c r="G92" s="11"/>
      <c r="H92" s="13">
        <f>SUBTOTAL(109,RestaurantSales[Unit_Price_JOD])</f>
        <v>385.49999999999994</v>
      </c>
      <c r="I92" s="13">
        <f>SUBTOTAL(101,RestaurantSales[Revenue_JOD])</f>
        <v>14.305555555555559</v>
      </c>
      <c r="J92" s="13">
        <f>SUBTOTAL(101,RestaurantSales[Cost_JOD])</f>
        <v>8.9783333333333353</v>
      </c>
      <c r="K92" s="13">
        <f>SUBTOTAL(109,RestaurantSales[proft])</f>
        <v>479.45</v>
      </c>
      <c r="L92" s="30"/>
      <c r="M92" s="31"/>
      <c r="N92" s="32">
        <f>SUBTOTAL(109,RestaurantSales[Target_Profit_JOD])</f>
        <v>481.541</v>
      </c>
      <c r="O92" s="11"/>
      <c r="P92" s="11"/>
      <c r="Q92" s="11"/>
      <c r="R92" s="11"/>
      <c r="S92" s="11"/>
      <c r="T92" s="11"/>
    </row>
    <row r="93" spans="1:20" s="12" customFormat="1" ht="17.5">
      <c r="A93"/>
      <c r="B93"/>
      <c r="C93"/>
      <c r="D93"/>
      <c r="E93"/>
      <c r="F93"/>
      <c r="G93"/>
      <c r="H93"/>
      <c r="I93"/>
      <c r="J93" s="14"/>
      <c r="K93" s="22"/>
      <c r="L93"/>
      <c r="M93" s="16"/>
      <c r="N93" s="18"/>
      <c r="O93"/>
      <c r="P93"/>
      <c r="Q93"/>
      <c r="R93"/>
      <c r="S93"/>
      <c r="T93"/>
    </row>
  </sheetData>
  <phoneticPr fontId="4" type="noConversion"/>
  <conditionalFormatting sqref="C2:O91">
    <cfRule type="expression" dxfId="93" priority="7">
      <formula>AND(ISTEXT(C2),TRIM(C2)&lt;&gt;"",OR(AND(COLUMN()=5,NOT(OR(EXACT(TRIM(C2),"Dine-in"),EXACT(TRIM(C2),"Delivery"),EXACT(TRIM(C2),"Takeaway")))),AND(OR(COLUMN()=3,COLUMN()=4,COLUMN()=6,COLUMN()=11),NOT(EXACT(TRIM(C2),PROPER(TRIM(C2)))))))</formula>
    </cfRule>
    <cfRule type="expression" dxfId="92" priority="8">
      <formula>AND(ISTEXT(C2),LEN(C2)&lt;&gt;LEN(TRIM(C2)))</formula>
    </cfRule>
  </conditionalFormatting>
  <conditionalFormatting sqref="A2:T91">
    <cfRule type="containsBlanks" dxfId="91" priority="5">
      <formula>LEN(TRIM(A2))=0</formula>
    </cfRule>
  </conditionalFormatting>
  <conditionalFormatting sqref="B2:N91">
    <cfRule type="expression" dxfId="90" priority="3">
      <formula>AND(OR(COLUMN()=2,COLUMN()=7,COLUMN()=8,COLUMN()=9,COLUMN()=10),B2&lt;&gt;"",NOT(ISNUMBER(B2)))</formula>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9860F-89D1-4200-AFC4-C721E93E8850}">
  <dimension ref="A1:Q24"/>
  <sheetViews>
    <sheetView topLeftCell="C18" zoomScale="124" workbookViewId="0">
      <selection activeCell="G28" sqref="G28"/>
    </sheetView>
  </sheetViews>
  <sheetFormatPr defaultRowHeight="14"/>
  <sheetData>
    <row r="1" spans="1:17">
      <c r="A1" t="s">
        <v>185</v>
      </c>
    </row>
    <row r="8" spans="1:17">
      <c r="A8" s="38"/>
      <c r="B8" s="38"/>
      <c r="C8" s="38"/>
      <c r="D8" s="38"/>
      <c r="E8" s="38"/>
      <c r="F8" s="38"/>
      <c r="G8" s="38"/>
    </row>
    <row r="12" spans="1:17">
      <c r="C12" s="38" t="s">
        <v>186</v>
      </c>
      <c r="D12" s="38"/>
      <c r="E12" s="38"/>
      <c r="F12" s="38"/>
      <c r="G12" s="38"/>
      <c r="H12" s="38"/>
      <c r="I12" s="38"/>
      <c r="J12" s="38"/>
      <c r="K12" s="38"/>
      <c r="L12" s="38"/>
      <c r="M12" s="38"/>
    </row>
    <row r="15" spans="1:17">
      <c r="E15" s="38" t="s">
        <v>187</v>
      </c>
      <c r="F15" s="38"/>
      <c r="G15" s="38"/>
      <c r="H15" s="38"/>
      <c r="I15" s="38"/>
      <c r="J15" s="38"/>
      <c r="K15" s="38"/>
      <c r="L15" s="38"/>
      <c r="M15" s="38"/>
      <c r="N15" s="38"/>
      <c r="O15" s="38"/>
      <c r="P15" s="38"/>
      <c r="Q15" s="38"/>
    </row>
    <row r="16" spans="1:17">
      <c r="E16" s="38"/>
      <c r="F16" s="38"/>
      <c r="G16" s="38"/>
      <c r="H16" s="38"/>
      <c r="I16" s="38"/>
      <c r="J16" s="38"/>
      <c r="K16" s="38"/>
      <c r="L16" s="38"/>
      <c r="M16" s="38"/>
      <c r="N16" s="38"/>
      <c r="O16" s="38"/>
      <c r="P16" s="38"/>
      <c r="Q16" s="38"/>
    </row>
    <row r="21" spans="8:14">
      <c r="I21" s="38" t="s">
        <v>184</v>
      </c>
      <c r="J21" s="38"/>
      <c r="K21" s="38"/>
      <c r="L21" s="38"/>
      <c r="M21" s="38"/>
      <c r="N21" s="38"/>
    </row>
    <row r="22" spans="8:14">
      <c r="L22" s="38" t="s">
        <v>181</v>
      </c>
      <c r="M22" s="38"/>
      <c r="N22" s="38"/>
    </row>
    <row r="23" spans="8:14">
      <c r="K23" s="38" t="s">
        <v>182</v>
      </c>
      <c r="L23" s="38"/>
      <c r="M23" s="38"/>
      <c r="N23" s="38"/>
    </row>
    <row r="24" spans="8:14">
      <c r="H24" s="38" t="s">
        <v>192</v>
      </c>
      <c r="I24" s="38"/>
      <c r="J24" s="38"/>
      <c r="K24" s="38"/>
      <c r="L24" s="38"/>
      <c r="M24" s="38"/>
      <c r="N24" s="38"/>
    </row>
  </sheetData>
  <mergeCells count="7">
    <mergeCell ref="K23:N23"/>
    <mergeCell ref="H24:N24"/>
    <mergeCell ref="L22:N22"/>
    <mergeCell ref="I21:N21"/>
    <mergeCell ref="A8:G8"/>
    <mergeCell ref="C12:M12"/>
    <mergeCell ref="E15:Q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00B5-2136-4743-A21E-E5463BC1BD7B}">
  <dimension ref="B1:P5"/>
  <sheetViews>
    <sheetView showGridLines="0" showRowColHeaders="0" tabSelected="1" zoomScale="73" workbookViewId="0">
      <selection activeCell="W25" sqref="W25"/>
    </sheetView>
  </sheetViews>
  <sheetFormatPr defaultRowHeight="14"/>
  <sheetData>
    <row r="1" spans="2:16" ht="20">
      <c r="G1" s="40"/>
      <c r="H1" s="41" t="s">
        <v>200</v>
      </c>
      <c r="I1" s="41"/>
      <c r="J1" s="41"/>
      <c r="K1" s="41"/>
      <c r="L1" s="41"/>
      <c r="M1" s="40"/>
      <c r="N1" s="42"/>
    </row>
    <row r="3" spans="2:16" ht="17.5">
      <c r="B3" s="36" t="s">
        <v>193</v>
      </c>
      <c r="C3" s="36"/>
      <c r="D3" s="36"/>
      <c r="F3" s="36" t="s">
        <v>194</v>
      </c>
      <c r="G3" s="36"/>
      <c r="H3" s="36"/>
      <c r="J3" s="36" t="s">
        <v>195</v>
      </c>
      <c r="K3" s="36"/>
      <c r="L3" s="36"/>
      <c r="N3" s="36" t="s">
        <v>198</v>
      </c>
      <c r="O3" s="36"/>
      <c r="P3" s="36"/>
    </row>
    <row r="4" spans="2:16">
      <c r="B4" s="37">
        <f>GETPIVOTDATA("Sum of Cost_JOD",KPI_Summary!$A$3)</f>
        <v>808.05000000000018</v>
      </c>
      <c r="C4" s="37"/>
      <c r="D4" s="37"/>
      <c r="F4" s="37">
        <f>GETPIVOTDATA("Sum of Revenue_JOD",KPI_Summary!$A$3)</f>
        <v>1287.5000000000002</v>
      </c>
      <c r="G4" s="37"/>
      <c r="H4" s="37"/>
      <c r="J4" s="37">
        <f>GETPIVOTDATA("Sum of proft",KPI_Summary!$A$3)</f>
        <v>479.45</v>
      </c>
      <c r="K4" s="37"/>
      <c r="L4" s="37"/>
      <c r="N4" s="37">
        <f>KPI_Summary!E4</f>
        <v>14.305555555555559</v>
      </c>
      <c r="O4" s="37"/>
      <c r="P4" s="37"/>
    </row>
    <row r="5" spans="2:16">
      <c r="B5" s="37"/>
      <c r="C5" s="37"/>
      <c r="D5" s="37"/>
      <c r="F5" s="37"/>
      <c r="G5" s="37"/>
      <c r="H5" s="37"/>
      <c r="J5" s="37"/>
      <c r="K5" s="37"/>
      <c r="L5" s="37"/>
      <c r="N5" s="37"/>
      <c r="O5" s="37"/>
      <c r="P5" s="37"/>
    </row>
  </sheetData>
  <mergeCells count="8">
    <mergeCell ref="N3:P3"/>
    <mergeCell ref="N4:P5"/>
    <mergeCell ref="B3:D3"/>
    <mergeCell ref="B4:D5"/>
    <mergeCell ref="F3:H3"/>
    <mergeCell ref="F4:H5"/>
    <mergeCell ref="J3:L3"/>
    <mergeCell ref="J4: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6"/>
  <sheetViews>
    <sheetView workbookViewId="0">
      <selection activeCell="B2" sqref="B2"/>
    </sheetView>
  </sheetViews>
  <sheetFormatPr defaultRowHeight="14"/>
  <cols>
    <col min="1" max="1" width="14.4140625" bestFit="1" customWidth="1"/>
    <col min="2" max="2" width="10.5" bestFit="1" customWidth="1"/>
    <col min="3" max="3" width="15.1640625" bestFit="1" customWidth="1"/>
  </cols>
  <sheetData>
    <row r="1" spans="1:7">
      <c r="A1" s="6" t="s">
        <v>41</v>
      </c>
      <c r="B1" s="4" t="s">
        <v>160</v>
      </c>
      <c r="C1" s="4" t="s">
        <v>161</v>
      </c>
    </row>
    <row r="2" spans="1:7">
      <c r="A2" t="s">
        <v>96</v>
      </c>
      <c r="B2" t="s">
        <v>162</v>
      </c>
      <c r="C2" s="5">
        <v>0.32</v>
      </c>
    </row>
    <row r="3" spans="1:7">
      <c r="A3" t="s">
        <v>65</v>
      </c>
      <c r="B3" t="s">
        <v>164</v>
      </c>
      <c r="C3" s="5">
        <v>0.33</v>
      </c>
    </row>
    <row r="4" spans="1:7">
      <c r="A4" t="s">
        <v>85</v>
      </c>
      <c r="B4" t="s">
        <v>164</v>
      </c>
      <c r="C4" s="5">
        <v>0.34</v>
      </c>
    </row>
    <row r="5" spans="1:7">
      <c r="A5" t="s">
        <v>51</v>
      </c>
      <c r="B5" t="s">
        <v>162</v>
      </c>
      <c r="C5" s="5">
        <v>0.35</v>
      </c>
    </row>
    <row r="6" spans="1:7">
      <c r="A6" t="s">
        <v>62</v>
      </c>
      <c r="B6" t="s">
        <v>163</v>
      </c>
      <c r="C6" s="5">
        <v>0.36</v>
      </c>
    </row>
    <row r="7" spans="1:7">
      <c r="A7" t="s">
        <v>89</v>
      </c>
      <c r="B7" t="s">
        <v>163</v>
      </c>
      <c r="C7" s="5">
        <v>0.38</v>
      </c>
    </row>
    <row r="8" spans="1:7">
      <c r="A8" t="s">
        <v>79</v>
      </c>
      <c r="B8" t="s">
        <v>165</v>
      </c>
      <c r="C8" s="5">
        <v>0.4</v>
      </c>
    </row>
    <row r="9" spans="1:7">
      <c r="A9" t="s">
        <v>100</v>
      </c>
      <c r="B9" t="s">
        <v>165</v>
      </c>
      <c r="C9" s="5">
        <v>0.42</v>
      </c>
    </row>
    <row r="10" spans="1:7">
      <c r="A10" t="s">
        <v>70</v>
      </c>
      <c r="B10" t="s">
        <v>166</v>
      </c>
      <c r="C10" s="5">
        <v>0.48</v>
      </c>
    </row>
    <row r="11" spans="1:7">
      <c r="A11" t="s">
        <v>56</v>
      </c>
      <c r="B11" t="s">
        <v>166</v>
      </c>
      <c r="C11" s="5">
        <v>0.55000000000000004</v>
      </c>
    </row>
    <row r="16" spans="1:7">
      <c r="C16" s="38" t="s">
        <v>183</v>
      </c>
      <c r="D16" s="38"/>
      <c r="E16" s="38"/>
      <c r="F16" s="38"/>
      <c r="G16" s="38"/>
    </row>
  </sheetData>
  <mergeCells count="1">
    <mergeCell ref="C16:G16"/>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ec233b6-205a-4ad2-b5e3-1ec202c6768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C1B3493D743AA49AC180D629C73C4D5" ma:contentTypeVersion="10" ma:contentTypeDescription="Create a new document." ma:contentTypeScope="" ma:versionID="e0aaf371bdc32319ddbf7f3b1b86af04">
  <xsd:schema xmlns:xsd="http://www.w3.org/2001/XMLSchema" xmlns:xs="http://www.w3.org/2001/XMLSchema" xmlns:p="http://schemas.microsoft.com/office/2006/metadata/properties" xmlns:ns3="cec233b6-205a-4ad2-b5e3-1ec202c67689" targetNamespace="http://schemas.microsoft.com/office/2006/metadata/properties" ma:root="true" ma:fieldsID="64ca44c15f2d91b50fb08f5d9eccfb19" ns3:_="">
    <xsd:import namespace="cec233b6-205a-4ad2-b5e3-1ec202c67689"/>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c233b6-205a-4ad2-b5e3-1ec202c676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00E8EB-9DD4-401A-8AC6-C1CDE16A89D4}">
  <ds:schemaRefs>
    <ds:schemaRef ds:uri="cec233b6-205a-4ad2-b5e3-1ec202c67689"/>
    <ds:schemaRef ds:uri="http://schemas.microsoft.com/office/infopath/2007/PartnerControls"/>
    <ds:schemaRef ds:uri="http://purl.org/dc/elements/1.1/"/>
    <ds:schemaRef ds:uri="http://www.w3.org/XML/1998/namespace"/>
    <ds:schemaRef ds:uri="http://schemas.microsoft.com/office/2006/documentManagement/types"/>
    <ds:schemaRef ds:uri="http://purl.org/dc/dcmitype/"/>
    <ds:schemaRef ds:uri="http://schemas.microsoft.com/office/2006/metadata/propertie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8D7EF9C5-3691-493F-853D-9492B9518F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c233b6-205a-4ad2-b5e3-1ec202c676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7DF793-43B6-4011-BE44-DCE084E071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Project_Brief</vt:lpstr>
      <vt:lpstr>Branch</vt:lpstr>
      <vt:lpstr>Channel</vt:lpstr>
      <vt:lpstr>Employee</vt:lpstr>
      <vt:lpstr>Item</vt:lpstr>
      <vt:lpstr>KPI_Summary</vt:lpstr>
      <vt:lpstr>Raw_Data</vt:lpstr>
      <vt:lpstr>noots</vt:lpstr>
      <vt:lpstr>Dashboard</vt:lpstr>
      <vt:lpstr>Menu_Lookup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معاذ نور</dc:creator>
  <cp:lastModifiedBy>معاذ عمر فؤاد نور</cp:lastModifiedBy>
  <cp:lastPrinted>2026-10-06T16:27:15Z</cp:lastPrinted>
  <dcterms:created xsi:type="dcterms:W3CDTF">2026-10-06T11:28:32Z</dcterms:created>
  <dcterms:modified xsi:type="dcterms:W3CDTF">2026-10-08T11:40:10Z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0x0101003C1B3493D743AA49AC180D629C73C4D5</vt:lpwstr>
  </property>
</Properties>
</file>